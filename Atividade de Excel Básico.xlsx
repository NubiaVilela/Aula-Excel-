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C2B80B57-0D24-40C9-9708-857A23022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91029"/>
</workbook>
</file>

<file path=xl/calcChain.xml><?xml version="1.0" encoding="utf-8"?>
<calcChain xmlns="http://schemas.openxmlformats.org/spreadsheetml/2006/main">
  <c r="I21" i="2" l="1"/>
  <c r="I21" i="3"/>
  <c r="I21" i="4"/>
  <c r="I21" i="5"/>
  <c r="I21" i="6"/>
  <c r="I21" i="7"/>
  <c r="I21" i="8"/>
  <c r="I21" i="9"/>
  <c r="I21" i="10"/>
  <c r="I21" i="11"/>
  <c r="I21" i="12"/>
  <c r="I21" i="13"/>
  <c r="I21" i="14"/>
  <c r="I21" i="15"/>
  <c r="I21" i="16"/>
  <c r="I21" i="17"/>
  <c r="I21" i="18"/>
  <c r="I21" i="1"/>
  <c r="H21" i="2"/>
  <c r="H21" i="3"/>
  <c r="H21" i="4"/>
  <c r="H21" i="5"/>
  <c r="H21" i="6"/>
  <c r="H21" i="7"/>
  <c r="H21" i="8"/>
  <c r="H21" i="9"/>
  <c r="H21" i="10"/>
  <c r="H21" i="11"/>
  <c r="H21" i="12"/>
  <c r="H21" i="13"/>
  <c r="H21" i="14"/>
  <c r="H21" i="15"/>
  <c r="H21" i="16"/>
  <c r="H21" i="17"/>
  <c r="H21" i="18"/>
  <c r="H21" i="1"/>
  <c r="G21" i="2"/>
  <c r="G21" i="3"/>
  <c r="G21" i="4"/>
  <c r="G21" i="5"/>
  <c r="G21" i="6"/>
  <c r="G21" i="7"/>
  <c r="G21" i="8"/>
  <c r="G21" i="9"/>
  <c r="G21" i="10"/>
  <c r="G21" i="11"/>
  <c r="G21" i="12"/>
  <c r="G21" i="13"/>
  <c r="G21" i="14"/>
  <c r="G21" i="15"/>
  <c r="G21" i="16"/>
  <c r="G21" i="17"/>
  <c r="G21" i="18"/>
  <c r="G21" i="1"/>
  <c r="F21" i="2"/>
  <c r="F21" i="3"/>
  <c r="F21" i="4"/>
  <c r="F21" i="5"/>
  <c r="F21" i="6"/>
  <c r="F21" i="7"/>
  <c r="F21" i="8"/>
  <c r="F21" i="9"/>
  <c r="F21" i="10"/>
  <c r="F21" i="11"/>
  <c r="F21" i="12"/>
  <c r="F21" i="13"/>
  <c r="F21" i="14"/>
  <c r="F21" i="15"/>
  <c r="F21" i="16"/>
  <c r="F21" i="17"/>
  <c r="F21" i="18"/>
  <c r="F21" i="1"/>
  <c r="E21" i="2"/>
  <c r="E21" i="3"/>
  <c r="E21" i="4"/>
  <c r="E21" i="5"/>
  <c r="E21" i="6"/>
  <c r="E21" i="7"/>
  <c r="E21" i="8"/>
  <c r="E21" i="9"/>
  <c r="E21" i="10"/>
  <c r="E21" i="11"/>
  <c r="E21" i="12"/>
  <c r="E21" i="13"/>
  <c r="E21" i="14"/>
  <c r="E21" i="15"/>
  <c r="E21" i="16"/>
  <c r="E21" i="17"/>
  <c r="E21" i="18"/>
  <c r="E21" i="1"/>
  <c r="D21" i="2"/>
  <c r="D21" i="3"/>
  <c r="D21" i="4"/>
  <c r="D21" i="5"/>
  <c r="D21" i="6"/>
  <c r="D21" i="7"/>
  <c r="D21" i="8"/>
  <c r="D21" i="9"/>
  <c r="D21" i="10"/>
  <c r="D21" i="11"/>
  <c r="D21" i="12"/>
  <c r="D21" i="13"/>
  <c r="D21" i="14"/>
  <c r="D21" i="15"/>
  <c r="D21" i="16"/>
  <c r="D21" i="17"/>
  <c r="D21" i="18"/>
  <c r="D21" i="1"/>
  <c r="C21" i="2"/>
  <c r="C21" i="3"/>
  <c r="C21" i="4"/>
  <c r="C21" i="5"/>
  <c r="C21" i="6"/>
  <c r="C21" i="7"/>
  <c r="C21" i="8"/>
  <c r="C21" i="9"/>
  <c r="C21" i="10"/>
  <c r="C21" i="11"/>
  <c r="C21" i="12"/>
  <c r="C21" i="13"/>
  <c r="C21" i="14"/>
  <c r="C21" i="15"/>
  <c r="C21" i="16"/>
  <c r="C21" i="17"/>
  <c r="C21" i="18"/>
  <c r="C21" i="1"/>
  <c r="I19" i="2"/>
  <c r="I19" i="3"/>
  <c r="I19" i="4"/>
  <c r="I19" i="5"/>
  <c r="I19" i="6"/>
  <c r="I19" i="7"/>
  <c r="I19" i="9"/>
  <c r="I19" i="10"/>
  <c r="I19" i="11"/>
  <c r="I19" i="12"/>
  <c r="I19" i="13"/>
  <c r="I19" i="14"/>
  <c r="I19" i="15"/>
  <c r="I19" i="16"/>
  <c r="I19" i="17"/>
  <c r="I19" i="18"/>
  <c r="I19" i="1"/>
  <c r="H19" i="2"/>
  <c r="H19" i="3"/>
  <c r="H19" i="4"/>
  <c r="H19" i="5"/>
  <c r="H19" i="6"/>
  <c r="H19" i="7"/>
  <c r="H19" i="8"/>
  <c r="H19" i="9"/>
  <c r="H19" i="10"/>
  <c r="H19" i="12"/>
  <c r="H19" i="13"/>
  <c r="H19" i="14"/>
  <c r="H19" i="16"/>
  <c r="H19" i="17"/>
  <c r="H19" i="18"/>
  <c r="H19" i="1"/>
  <c r="G19" i="2"/>
  <c r="G19" i="3"/>
  <c r="G19" i="5"/>
  <c r="G19" i="6"/>
  <c r="G19" i="7"/>
  <c r="G19" i="9"/>
  <c r="G19" i="10"/>
  <c r="G19" i="11"/>
  <c r="G19" i="12"/>
  <c r="G19" i="13"/>
  <c r="G19" i="14"/>
  <c r="G19" i="16"/>
  <c r="G19" i="17"/>
  <c r="G19" i="18"/>
  <c r="G19" i="1"/>
  <c r="F19" i="2"/>
  <c r="F19" i="3"/>
  <c r="F19" i="4"/>
  <c r="F19" i="5"/>
  <c r="F19" i="6"/>
  <c r="F19" i="7"/>
  <c r="F19" i="9"/>
  <c r="F19" i="10"/>
  <c r="F19" i="12"/>
  <c r="F19" i="13"/>
  <c r="F19" i="14"/>
  <c r="F19" i="16"/>
  <c r="F19" i="17"/>
  <c r="F19" i="18"/>
  <c r="F19" i="1"/>
  <c r="E19" i="2"/>
  <c r="E19" i="3"/>
  <c r="E19" i="4"/>
  <c r="E19" i="5"/>
  <c r="E19" i="6"/>
  <c r="E19" i="7"/>
  <c r="E19" i="8"/>
  <c r="E19" i="9"/>
  <c r="E19" i="10"/>
  <c r="E19" i="11"/>
  <c r="E19" i="12"/>
  <c r="E19" i="13"/>
  <c r="E19" i="14"/>
  <c r="E19" i="16"/>
  <c r="E19" i="17"/>
  <c r="E19" i="18"/>
  <c r="E19" i="1"/>
  <c r="D19" i="2"/>
  <c r="D19" i="3"/>
  <c r="D19" i="4"/>
  <c r="D19" i="5"/>
  <c r="D19" i="6"/>
  <c r="D19" i="7"/>
  <c r="D19" i="9"/>
  <c r="D19" i="10"/>
  <c r="D19" i="12"/>
  <c r="D19" i="13"/>
  <c r="D19" i="14"/>
  <c r="D19" i="16"/>
  <c r="D19" i="17"/>
  <c r="D19" i="18"/>
  <c r="D19" i="1"/>
  <c r="C19" i="2"/>
  <c r="C19" i="3"/>
  <c r="C19" i="5"/>
  <c r="C19" i="6"/>
  <c r="C19" i="7"/>
  <c r="C19" i="8"/>
  <c r="C19" i="9"/>
  <c r="C19" i="10"/>
  <c r="C19" i="12"/>
  <c r="C19" i="13"/>
  <c r="C19" i="14"/>
  <c r="C19" i="16"/>
  <c r="C19" i="17"/>
  <c r="C19" i="18"/>
  <c r="C19" i="1"/>
  <c r="I17" i="2"/>
  <c r="I17" i="3"/>
  <c r="I17" i="5"/>
  <c r="I17" i="6"/>
  <c r="I17" i="7"/>
  <c r="I17" i="9"/>
  <c r="I17" i="10"/>
  <c r="I17" i="11"/>
  <c r="I17" i="12"/>
  <c r="I17" i="13"/>
  <c r="I17" i="14"/>
  <c r="I17" i="16"/>
  <c r="I17" i="17"/>
  <c r="I17" i="18"/>
  <c r="I17" i="1"/>
  <c r="I16" i="2"/>
  <c r="I16" i="3"/>
  <c r="I16" i="4"/>
  <c r="I16" i="5"/>
  <c r="I16" i="6"/>
  <c r="I16" i="7"/>
  <c r="I16" i="9"/>
  <c r="I16" i="10"/>
  <c r="I16" i="11"/>
  <c r="I16" i="12"/>
  <c r="I16" i="13"/>
  <c r="I16" i="14"/>
  <c r="I16" i="16"/>
  <c r="I16" i="17"/>
  <c r="I16" i="18"/>
  <c r="I16" i="1"/>
  <c r="I15" i="2"/>
  <c r="I15" i="3"/>
  <c r="I15" i="4"/>
  <c r="I15" i="5"/>
  <c r="I15" i="6"/>
  <c r="I15" i="7"/>
  <c r="I15" i="8"/>
  <c r="I15" i="9"/>
  <c r="I15" i="10"/>
  <c r="I15" i="11"/>
  <c r="I15" i="12"/>
  <c r="I15" i="13"/>
  <c r="I15" i="14"/>
  <c r="I15" i="16"/>
  <c r="I15" i="17"/>
  <c r="I15" i="18"/>
  <c r="I15" i="1"/>
  <c r="I14" i="2"/>
  <c r="I14" i="3"/>
  <c r="I14" i="4"/>
  <c r="I14" i="5"/>
  <c r="I14" i="6"/>
  <c r="I14" i="7"/>
  <c r="I14" i="8"/>
  <c r="I14" i="9"/>
  <c r="I14" i="10"/>
  <c r="I14" i="11"/>
  <c r="I14" i="12"/>
  <c r="I14" i="13"/>
  <c r="I14" i="14"/>
  <c r="I14" i="16"/>
  <c r="I14" i="17"/>
  <c r="I14" i="18"/>
  <c r="I14" i="1"/>
  <c r="I13" i="2"/>
  <c r="I13" i="3"/>
  <c r="I13" i="4"/>
  <c r="I13" i="5"/>
  <c r="I13" i="6"/>
  <c r="I13" i="7"/>
  <c r="I13" i="9"/>
  <c r="I13" i="10"/>
  <c r="I13" i="11"/>
  <c r="I13" i="12"/>
  <c r="I13" i="13"/>
  <c r="I13" i="14"/>
  <c r="I13" i="16"/>
  <c r="I13" i="17"/>
  <c r="I13" i="18"/>
  <c r="I13" i="1"/>
  <c r="I12" i="2"/>
  <c r="I12" i="3"/>
  <c r="I12" i="5"/>
  <c r="I12" i="6"/>
  <c r="I12" i="7"/>
  <c r="I12" i="8"/>
  <c r="I12" i="9"/>
  <c r="I12" i="10"/>
  <c r="I12" i="11"/>
  <c r="I12" i="12"/>
  <c r="I12" i="13"/>
  <c r="I12" i="14"/>
  <c r="I12" i="16"/>
  <c r="I12" i="17"/>
  <c r="I12" i="18"/>
  <c r="I12" i="1"/>
  <c r="H17" i="2"/>
  <c r="H17" i="3"/>
  <c r="H17" i="5"/>
  <c r="H17" i="6"/>
  <c r="H17" i="7"/>
  <c r="H17" i="8"/>
  <c r="H17" i="9"/>
  <c r="H17" i="10"/>
  <c r="H17" i="12"/>
  <c r="H17" i="13"/>
  <c r="H17" i="14"/>
  <c r="H17" i="15"/>
  <c r="H17" i="16"/>
  <c r="H17" i="17"/>
  <c r="H17" i="18"/>
  <c r="H17" i="1"/>
  <c r="H16" i="2"/>
  <c r="H16" i="3"/>
  <c r="H16" i="5"/>
  <c r="H16" i="6"/>
  <c r="H16" i="7"/>
  <c r="H16" i="8"/>
  <c r="H16" i="9"/>
  <c r="H16" i="10"/>
  <c r="H16" i="12"/>
  <c r="H16" i="13"/>
  <c r="H16" i="14"/>
  <c r="H16" i="15"/>
  <c r="H16" i="16"/>
  <c r="H16" i="17"/>
  <c r="H16" i="18"/>
  <c r="H16" i="1"/>
  <c r="H15" i="2"/>
  <c r="H15" i="3"/>
  <c r="H15" i="5"/>
  <c r="H15" i="6"/>
  <c r="H15" i="7"/>
  <c r="H15" i="8"/>
  <c r="H15" i="9"/>
  <c r="H15" i="10"/>
  <c r="H15" i="12"/>
  <c r="H15" i="14"/>
  <c r="H15" i="15"/>
  <c r="H15" i="16"/>
  <c r="H15" i="17"/>
  <c r="H15" i="18"/>
  <c r="H15" i="1"/>
  <c r="H14" i="2"/>
  <c r="H14" i="3"/>
  <c r="H14" i="5"/>
  <c r="H14" i="6"/>
  <c r="H14" i="7"/>
  <c r="H14" i="9"/>
  <c r="H14" i="10"/>
  <c r="H14" i="12"/>
  <c r="H14" i="14"/>
  <c r="H14" i="15"/>
  <c r="H14" i="16"/>
  <c r="H14" i="17"/>
  <c r="H14" i="18"/>
  <c r="H14" i="1"/>
  <c r="H13" i="2"/>
  <c r="H13" i="3"/>
  <c r="H13" i="5"/>
  <c r="H13" i="6"/>
  <c r="H13" i="7"/>
  <c r="H13" i="8"/>
  <c r="H13" i="9"/>
  <c r="H13" i="10"/>
  <c r="H13" i="12"/>
  <c r="H13" i="14"/>
  <c r="H13" i="15"/>
  <c r="H13" i="16"/>
  <c r="H13" i="17"/>
  <c r="H13" i="18"/>
  <c r="H13" i="1"/>
  <c r="H12" i="2"/>
  <c r="H12" i="3"/>
  <c r="H12" i="5"/>
  <c r="H12" i="6"/>
  <c r="H12" i="7"/>
  <c r="H12" i="8"/>
  <c r="H12" i="9"/>
  <c r="H12" i="10"/>
  <c r="H12" i="12"/>
  <c r="H12" i="14"/>
  <c r="H12" i="15"/>
  <c r="H12" i="16"/>
  <c r="H12" i="17"/>
  <c r="H12" i="18"/>
  <c r="H12" i="1"/>
  <c r="G17" i="2"/>
  <c r="G17" i="3"/>
  <c r="G17" i="5"/>
  <c r="G17" i="6"/>
  <c r="G17" i="7"/>
  <c r="G17" i="9"/>
  <c r="G17" i="10"/>
  <c r="G17" i="11"/>
  <c r="G17" i="12"/>
  <c r="G17" i="13"/>
  <c r="G17" i="14"/>
  <c r="G17" i="15"/>
  <c r="G17" i="16"/>
  <c r="G17" i="17"/>
  <c r="G17" i="18"/>
  <c r="G17" i="1"/>
  <c r="G16" i="2"/>
  <c r="G16" i="3"/>
  <c r="G16" i="4"/>
  <c r="G16" i="5"/>
  <c r="G16" i="6"/>
  <c r="G16" i="7"/>
  <c r="G16" i="9"/>
  <c r="G16" i="10"/>
  <c r="G16" i="11"/>
  <c r="G16" i="12"/>
  <c r="G16" i="13"/>
  <c r="G16" i="14"/>
  <c r="G16" i="15"/>
  <c r="G16" i="16"/>
  <c r="G16" i="17"/>
  <c r="G16" i="18"/>
  <c r="G16" i="1"/>
  <c r="G15" i="2"/>
  <c r="G15" i="3"/>
  <c r="G15" i="5"/>
  <c r="G15" i="6"/>
  <c r="G15" i="7"/>
  <c r="G15" i="9"/>
  <c r="G15" i="10"/>
  <c r="G15" i="11"/>
  <c r="G15" i="12"/>
  <c r="G15" i="14"/>
  <c r="G15" i="15"/>
  <c r="G15" i="16"/>
  <c r="G15" i="17"/>
  <c r="G15" i="18"/>
  <c r="G15" i="1"/>
  <c r="G13" i="2"/>
  <c r="G13" i="3"/>
  <c r="G13" i="5"/>
  <c r="G13" i="6"/>
  <c r="G13" i="7"/>
  <c r="G13" i="9"/>
  <c r="G13" i="10"/>
  <c r="G13" i="11"/>
  <c r="G13" i="12"/>
  <c r="G13" i="14"/>
  <c r="G13" i="15"/>
  <c r="G13" i="16"/>
  <c r="G13" i="17"/>
  <c r="G13" i="18"/>
  <c r="G13" i="1"/>
  <c r="G14" i="2"/>
  <c r="G14" i="3"/>
  <c r="G14" i="4"/>
  <c r="G14" i="5"/>
  <c r="G14" i="6"/>
  <c r="G14" i="7"/>
  <c r="G14" i="9"/>
  <c r="G14" i="10"/>
  <c r="G14" i="11"/>
  <c r="G14" i="12"/>
  <c r="G14" i="14"/>
  <c r="G14" i="15"/>
  <c r="G14" i="16"/>
  <c r="G14" i="17"/>
  <c r="G14" i="18"/>
  <c r="G14" i="1"/>
  <c r="G12" i="2"/>
  <c r="G12" i="3"/>
  <c r="G12" i="4"/>
  <c r="G12" i="5"/>
  <c r="G12" i="6"/>
  <c r="G12" i="7"/>
  <c r="G12" i="9"/>
  <c r="G12" i="10"/>
  <c r="G12" i="11"/>
  <c r="G12" i="12"/>
  <c r="G12" i="14"/>
  <c r="G12" i="15"/>
  <c r="G12" i="16"/>
  <c r="G12" i="17"/>
  <c r="G12" i="18"/>
  <c r="G12" i="1"/>
  <c r="F17" i="2"/>
  <c r="F17" i="3"/>
  <c r="F17" i="5"/>
  <c r="F17" i="6"/>
  <c r="F17" i="7"/>
  <c r="F17" i="9"/>
  <c r="F17" i="10"/>
  <c r="F17" i="12"/>
  <c r="F17" i="13"/>
  <c r="F17" i="14"/>
  <c r="F17" i="15"/>
  <c r="F17" i="16"/>
  <c r="F17" i="17"/>
  <c r="F17" i="18"/>
  <c r="F17" i="1"/>
  <c r="F16" i="2"/>
  <c r="F16" i="3"/>
  <c r="F16" i="5"/>
  <c r="F16" i="6"/>
  <c r="F16" i="7"/>
  <c r="F16" i="9"/>
  <c r="F16" i="10"/>
  <c r="F16" i="12"/>
  <c r="F16" i="13"/>
  <c r="F16" i="14"/>
  <c r="F16" i="15"/>
  <c r="F16" i="16"/>
  <c r="F16" i="17"/>
  <c r="F16" i="18"/>
  <c r="F16" i="1"/>
  <c r="F15" i="2"/>
  <c r="F15" i="3"/>
  <c r="F15" i="5"/>
  <c r="F15" i="6"/>
  <c r="F15" i="7"/>
  <c r="F15" i="9"/>
  <c r="F15" i="10"/>
  <c r="F15" i="12"/>
  <c r="F15" i="14"/>
  <c r="F15" i="15"/>
  <c r="F15" i="16"/>
  <c r="F15" i="17"/>
  <c r="F15" i="18"/>
  <c r="F15" i="1"/>
  <c r="F14" i="2"/>
  <c r="F14" i="3"/>
  <c r="F14" i="5"/>
  <c r="F14" i="6"/>
  <c r="F14" i="7"/>
  <c r="F14" i="9"/>
  <c r="F14" i="10"/>
  <c r="F14" i="12"/>
  <c r="F14" i="14"/>
  <c r="F14" i="15"/>
  <c r="F14" i="16"/>
  <c r="F14" i="17"/>
  <c r="F14" i="18"/>
  <c r="F14" i="1"/>
  <c r="F13" i="2"/>
  <c r="F13" i="3"/>
  <c r="F13" i="5"/>
  <c r="F13" i="6"/>
  <c r="F13" i="7"/>
  <c r="F13" i="9"/>
  <c r="F13" i="10"/>
  <c r="F13" i="12"/>
  <c r="F13" i="14"/>
  <c r="F13" i="15"/>
  <c r="F13" i="16"/>
  <c r="F13" i="17"/>
  <c r="F13" i="18"/>
  <c r="F13" i="1"/>
  <c r="F12" i="2"/>
  <c r="F12" i="3"/>
  <c r="F12" i="5"/>
  <c r="F12" i="6"/>
  <c r="F12" i="7"/>
  <c r="F12" i="9"/>
  <c r="F12" i="10"/>
  <c r="F12" i="12"/>
  <c r="F12" i="14"/>
  <c r="F12" i="15"/>
  <c r="F12" i="16"/>
  <c r="F12" i="17"/>
  <c r="F12" i="18"/>
  <c r="F12" i="1"/>
  <c r="I9" i="2"/>
  <c r="I9" i="3"/>
  <c r="I9" i="5"/>
  <c r="I9" i="6"/>
  <c r="I9" i="7"/>
  <c r="I9" i="9"/>
  <c r="I9" i="10"/>
  <c r="I9" i="11"/>
  <c r="I9" i="12"/>
  <c r="I9" i="13"/>
  <c r="I9" i="14"/>
  <c r="I9" i="16"/>
  <c r="I9" i="17"/>
  <c r="I9" i="18"/>
  <c r="I9" i="1"/>
  <c r="H9" i="2"/>
  <c r="H9" i="3"/>
  <c r="H9" i="5"/>
  <c r="H9" i="6"/>
  <c r="H9" i="7"/>
  <c r="H9" i="9"/>
  <c r="H9" i="10"/>
  <c r="H9" i="12"/>
  <c r="H9" i="14"/>
  <c r="H9" i="15"/>
  <c r="H9" i="17"/>
  <c r="H9" i="1"/>
  <c r="G9" i="2"/>
  <c r="G9" i="3"/>
  <c r="G9" i="4"/>
  <c r="G9" i="5"/>
  <c r="G9" i="6"/>
  <c r="G9" i="7"/>
  <c r="G9" i="8"/>
  <c r="G9" i="9"/>
  <c r="G9" i="10"/>
  <c r="G9" i="12"/>
  <c r="G9" i="15"/>
  <c r="G9" i="18"/>
  <c r="G9" i="1"/>
  <c r="F9" i="2"/>
  <c r="F9" i="3"/>
  <c r="F9" i="5"/>
  <c r="F9" i="6"/>
  <c r="F9" i="7"/>
  <c r="F9" i="8"/>
  <c r="F9" i="9"/>
  <c r="F9" i="10"/>
  <c r="F9" i="11"/>
  <c r="F9" i="12"/>
  <c r="F9" i="14"/>
  <c r="F9" i="15"/>
  <c r="F9" i="16"/>
  <c r="F9" i="17"/>
  <c r="F9" i="1"/>
  <c r="E9" i="2"/>
  <c r="E9" i="3"/>
  <c r="E9" i="4"/>
  <c r="E9" i="5"/>
  <c r="E9" i="6"/>
  <c r="E9" i="7"/>
  <c r="E9" i="9"/>
  <c r="E9" i="10"/>
  <c r="E9" i="12"/>
  <c r="E9" i="14"/>
  <c r="E9" i="15"/>
  <c r="E9" i="16"/>
  <c r="E9" i="17"/>
  <c r="E9" i="18"/>
  <c r="E9" i="1"/>
  <c r="D9" i="2"/>
  <c r="D9" i="3"/>
  <c r="D9" i="5"/>
  <c r="D9" i="6"/>
  <c r="D9" i="7"/>
  <c r="D9" i="8"/>
  <c r="D9" i="9"/>
  <c r="D9" i="10"/>
  <c r="D9" i="11"/>
  <c r="D9" i="12"/>
  <c r="D9" i="14"/>
  <c r="D9" i="15"/>
  <c r="D9" i="16"/>
  <c r="D9" i="17"/>
  <c r="D9" i="18"/>
  <c r="D9" i="1"/>
  <c r="C9" i="2"/>
  <c r="C9" i="3"/>
  <c r="C9" i="4"/>
  <c r="C9" i="5"/>
  <c r="C9" i="6"/>
  <c r="C9" i="7"/>
  <c r="C9" i="9"/>
  <c r="C9" i="10"/>
  <c r="C9" i="11"/>
  <c r="C9" i="12"/>
  <c r="C9" i="14"/>
  <c r="C9" i="15"/>
  <c r="C9" i="16"/>
  <c r="C9" i="17"/>
  <c r="C9" i="18"/>
  <c r="C9" i="1"/>
  <c r="I7" i="16"/>
  <c r="I6" i="16"/>
  <c r="I5" i="16"/>
  <c r="I4" i="16"/>
  <c r="I3" i="16"/>
  <c r="I7" i="17"/>
  <c r="I6" i="17"/>
  <c r="I5" i="17"/>
  <c r="I4" i="17"/>
  <c r="I3" i="17"/>
  <c r="I7" i="18"/>
  <c r="I6" i="18"/>
  <c r="I5" i="18"/>
  <c r="I4" i="18"/>
  <c r="I3" i="18"/>
  <c r="I7" i="1"/>
  <c r="I6" i="1"/>
  <c r="I5" i="1"/>
  <c r="I4" i="1"/>
  <c r="I3" i="1"/>
  <c r="I2" i="2"/>
  <c r="I2" i="3"/>
  <c r="I2" i="5"/>
  <c r="I2" i="6"/>
  <c r="I2" i="7"/>
  <c r="I2" i="8"/>
  <c r="I2" i="9"/>
  <c r="I2" i="10"/>
  <c r="I2" i="11"/>
  <c r="I2" i="12"/>
  <c r="I2" i="13"/>
  <c r="I2" i="14"/>
  <c r="I2" i="15"/>
  <c r="I2" i="16"/>
  <c r="I2" i="17"/>
  <c r="I2" i="18"/>
  <c r="I2" i="1"/>
  <c r="H7" i="16"/>
  <c r="H9" i="16" s="1"/>
  <c r="H6" i="16"/>
  <c r="H5" i="16"/>
  <c r="H4" i="16"/>
  <c r="H3" i="16"/>
  <c r="H7" i="17"/>
  <c r="H6" i="17"/>
  <c r="H5" i="17"/>
  <c r="H4" i="17"/>
  <c r="H3" i="17"/>
  <c r="H7" i="18"/>
  <c r="H9" i="18" s="1"/>
  <c r="H6" i="18"/>
  <c r="H5" i="18"/>
  <c r="H4" i="18"/>
  <c r="H3" i="18"/>
  <c r="H7" i="1"/>
  <c r="H6" i="1"/>
  <c r="H5" i="1"/>
  <c r="H4" i="1"/>
  <c r="H3" i="1"/>
  <c r="H2" i="2"/>
  <c r="H2" i="3"/>
  <c r="H2" i="5"/>
  <c r="H2" i="6"/>
  <c r="H2" i="7"/>
  <c r="H2" i="9"/>
  <c r="H2" i="10"/>
  <c r="H2" i="12"/>
  <c r="H2" i="14"/>
  <c r="H2" i="16"/>
  <c r="H2" i="17"/>
  <c r="H2" i="18"/>
  <c r="H2" i="1"/>
  <c r="G7" i="14"/>
  <c r="G9" i="14" s="1"/>
  <c r="G6" i="14"/>
  <c r="G7" i="16"/>
  <c r="G9" i="16" s="1"/>
  <c r="G6" i="16"/>
  <c r="G7" i="17"/>
  <c r="G9" i="17" s="1"/>
  <c r="G6" i="17"/>
  <c r="G7" i="18"/>
  <c r="G6" i="18"/>
  <c r="G7" i="1"/>
  <c r="G6" i="1"/>
  <c r="G5" i="14"/>
  <c r="G5" i="16"/>
  <c r="G5" i="17"/>
  <c r="G5" i="18"/>
  <c r="G5" i="1"/>
  <c r="G4" i="16"/>
  <c r="G4" i="17"/>
  <c r="G4" i="18"/>
  <c r="G4" i="1"/>
  <c r="G3" i="16"/>
  <c r="G3" i="17"/>
  <c r="G3" i="18"/>
  <c r="G3" i="1"/>
  <c r="G2" i="2"/>
  <c r="G2" i="3"/>
  <c r="G2" i="4"/>
  <c r="G2" i="5"/>
  <c r="G2" i="6"/>
  <c r="G2" i="7"/>
  <c r="G2" i="9"/>
  <c r="G2" i="10"/>
  <c r="G2" i="12"/>
  <c r="G2" i="13"/>
  <c r="G2" i="14"/>
  <c r="G2" i="16"/>
  <c r="G2" i="17"/>
  <c r="G2" i="18"/>
  <c r="G2" i="1"/>
  <c r="F7" i="16"/>
  <c r="F6" i="16"/>
  <c r="F5" i="16"/>
  <c r="F4" i="16"/>
  <c r="F7" i="17"/>
  <c r="F6" i="17"/>
  <c r="F5" i="17"/>
  <c r="F4" i="17"/>
  <c r="F7" i="18"/>
  <c r="F9" i="18" s="1"/>
  <c r="F6" i="18"/>
  <c r="F5" i="18"/>
  <c r="F4" i="18"/>
  <c r="F7" i="1"/>
  <c r="F6" i="1"/>
  <c r="F5" i="1"/>
  <c r="F4" i="1"/>
  <c r="F3" i="16"/>
  <c r="F3" i="17"/>
  <c r="F3" i="18"/>
  <c r="F3" i="1"/>
  <c r="F2" i="2"/>
  <c r="F2" i="3"/>
  <c r="F2" i="5"/>
  <c r="F2" i="6"/>
  <c r="F2" i="7"/>
  <c r="F2" i="9"/>
  <c r="F2" i="10"/>
  <c r="F2" i="11"/>
  <c r="F2" i="12"/>
  <c r="F2" i="14"/>
  <c r="F2" i="16"/>
  <c r="F2" i="17"/>
  <c r="F2" i="18"/>
  <c r="F2" i="1"/>
</calcChain>
</file>

<file path=xl/sharedStrings.xml><?xml version="1.0" encoding="utf-8"?>
<sst xmlns="http://schemas.openxmlformats.org/spreadsheetml/2006/main" count="257" uniqueCount="183">
  <si>
    <r>
      <rPr>
        <b/>
        <sz val="9.5"/>
        <rFont val="Arial"/>
        <family val="2"/>
      </rPr>
      <t>Código</t>
    </r>
  </si>
  <si>
    <r>
      <rPr>
        <b/>
        <sz val="9.5"/>
        <rFont val="Arial"/>
        <family val="2"/>
      </rPr>
      <t>Produto</t>
    </r>
  </si>
  <si>
    <r>
      <rPr>
        <b/>
        <sz val="9.5"/>
        <rFont val="Arial"/>
        <family val="2"/>
      </rPr>
      <t>Jan</t>
    </r>
  </si>
  <si>
    <r>
      <rPr>
        <b/>
        <sz val="9.5"/>
        <rFont val="Arial"/>
        <family val="2"/>
      </rPr>
      <t>Fev</t>
    </r>
  </si>
  <si>
    <r>
      <rPr>
        <b/>
        <sz val="9.5"/>
        <rFont val="Arial"/>
        <family val="2"/>
      </rPr>
      <t>Mar</t>
    </r>
  </si>
  <si>
    <r>
      <rPr>
        <b/>
        <sz val="9.5"/>
        <rFont val="Arial"/>
        <family val="2"/>
      </rPr>
      <t>Total 1º Trim.</t>
    </r>
  </si>
  <si>
    <r>
      <rPr>
        <b/>
        <sz val="9.5"/>
        <rFont val="Arial"/>
        <family val="2"/>
      </rPr>
      <t>Máximo</t>
    </r>
  </si>
  <si>
    <r>
      <rPr>
        <b/>
        <sz val="9.5"/>
        <rFont val="Arial"/>
        <family val="2"/>
      </rPr>
      <t>Mínimo</t>
    </r>
  </si>
  <si>
    <r>
      <rPr>
        <b/>
        <sz val="9.5"/>
        <rFont val="Arial"/>
        <family val="2"/>
      </rPr>
      <t>Média</t>
    </r>
  </si>
  <si>
    <r>
      <rPr>
        <sz val="9.5"/>
        <rFont val="Arial MT"/>
        <family val="2"/>
      </rPr>
      <t>Porca</t>
    </r>
  </si>
  <si>
    <r>
      <rPr>
        <sz val="9.5"/>
        <rFont val="Arial MT"/>
        <family val="2"/>
      </rPr>
      <t>Parafuso</t>
    </r>
  </si>
  <si>
    <r>
      <rPr>
        <sz val="9.5"/>
        <rFont val="Arial MT"/>
        <family val="2"/>
      </rPr>
      <t>Arruela</t>
    </r>
  </si>
  <si>
    <r>
      <rPr>
        <sz val="9.5"/>
        <rFont val="Arial MT"/>
        <family val="2"/>
      </rPr>
      <t>Prego</t>
    </r>
  </si>
  <si>
    <r>
      <rPr>
        <sz val="9.5"/>
        <rFont val="Arial MT"/>
        <family val="2"/>
      </rPr>
      <t>Alicate</t>
    </r>
  </si>
  <si>
    <r>
      <rPr>
        <sz val="9.5"/>
        <rFont val="Arial MT"/>
        <family val="2"/>
      </rPr>
      <t>Martelo</t>
    </r>
  </si>
  <si>
    <r>
      <rPr>
        <b/>
        <sz val="9.5"/>
        <rFont val="Arial"/>
        <family val="2"/>
      </rPr>
      <t>Totais</t>
    </r>
  </si>
  <si>
    <r>
      <rPr>
        <b/>
        <sz val="9.5"/>
        <rFont val="Arial"/>
        <family val="2"/>
      </rPr>
      <t>Abr</t>
    </r>
  </si>
  <si>
    <r>
      <rPr>
        <b/>
        <sz val="9.5"/>
        <rFont val="Arial"/>
        <family val="2"/>
      </rPr>
      <t>Mai</t>
    </r>
  </si>
  <si>
    <r>
      <rPr>
        <b/>
        <sz val="9.5"/>
        <rFont val="Arial"/>
        <family val="2"/>
      </rPr>
      <t>Jun</t>
    </r>
  </si>
  <si>
    <r>
      <rPr>
        <b/>
        <sz val="9.5"/>
        <rFont val="Arial"/>
        <family val="2"/>
      </rPr>
      <t>Total 2º Trim.</t>
    </r>
  </si>
  <si>
    <r>
      <rPr>
        <sz val="9.5"/>
        <rFont val="Arial MT"/>
        <family val="2"/>
      </rPr>
      <t>JANEIRO</t>
    </r>
  </si>
  <si>
    <r>
      <rPr>
        <sz val="9.5"/>
        <rFont val="Arial MT"/>
        <family val="2"/>
      </rPr>
      <t>FEVEREIRO</t>
    </r>
  </si>
  <si>
    <r>
      <rPr>
        <sz val="9.5"/>
        <rFont val="Arial MT"/>
        <family val="2"/>
      </rPr>
      <t>MARÇO</t>
    </r>
  </si>
  <si>
    <r>
      <rPr>
        <sz val="9.5"/>
        <rFont val="Arial MT"/>
        <family val="2"/>
      </rPr>
      <t>SALÁRIO</t>
    </r>
  </si>
  <si>
    <r>
      <rPr>
        <sz val="9.5"/>
        <rFont val="Arial MT"/>
        <family val="2"/>
      </rPr>
      <t>R$     500,00</t>
    </r>
  </si>
  <si>
    <r>
      <rPr>
        <sz val="9.5"/>
        <rFont val="Arial MT"/>
        <family val="2"/>
      </rPr>
      <t>R$     750,00</t>
    </r>
  </si>
  <si>
    <r>
      <rPr>
        <sz val="9.5"/>
        <rFont val="Arial MT"/>
        <family val="2"/>
      </rPr>
      <t>CONTAS</t>
    </r>
  </si>
  <si>
    <r>
      <rPr>
        <sz val="9.5"/>
        <rFont val="Arial MT"/>
        <family val="2"/>
      </rPr>
      <t>ÁGUA</t>
    </r>
  </si>
  <si>
    <r>
      <rPr>
        <sz val="9.5"/>
        <rFont val="Arial MT"/>
        <family val="2"/>
      </rPr>
      <t>R$       10,00</t>
    </r>
  </si>
  <si>
    <r>
      <rPr>
        <sz val="9.5"/>
        <rFont val="Arial MT"/>
        <family val="2"/>
      </rPr>
      <t>R$       15,00</t>
    </r>
  </si>
  <si>
    <r>
      <rPr>
        <sz val="9.5"/>
        <rFont val="Arial MT"/>
        <family val="2"/>
      </rPr>
      <t>LUZ</t>
    </r>
  </si>
  <si>
    <r>
      <rPr>
        <sz val="9.5"/>
        <rFont val="Arial MT"/>
        <family val="2"/>
      </rPr>
      <t>R$       50,00</t>
    </r>
  </si>
  <si>
    <r>
      <rPr>
        <sz val="9.5"/>
        <rFont val="Arial MT"/>
        <family val="2"/>
      </rPr>
      <t>R$       60,00</t>
    </r>
  </si>
  <si>
    <r>
      <rPr>
        <sz val="9.5"/>
        <rFont val="Arial MT"/>
        <family val="2"/>
      </rPr>
      <t>R$       54,00</t>
    </r>
  </si>
  <si>
    <r>
      <rPr>
        <sz val="9.5"/>
        <rFont val="Arial MT"/>
        <family val="2"/>
      </rPr>
      <t>ESCOLA</t>
    </r>
  </si>
  <si>
    <r>
      <rPr>
        <sz val="9.5"/>
        <rFont val="Arial MT"/>
        <family val="2"/>
      </rPr>
      <t>R$     300,00</t>
    </r>
  </si>
  <si>
    <r>
      <rPr>
        <sz val="9.5"/>
        <rFont val="Arial MT"/>
        <family val="2"/>
      </rPr>
      <t>R$     250,00</t>
    </r>
  </si>
  <si>
    <r>
      <rPr>
        <sz val="9.5"/>
        <rFont val="Arial MT"/>
        <family val="2"/>
      </rPr>
      <t>IPTU</t>
    </r>
  </si>
  <si>
    <r>
      <rPr>
        <sz val="9.5"/>
        <rFont val="Arial MT"/>
        <family val="2"/>
      </rPr>
      <t>R$       40,00</t>
    </r>
  </si>
  <si>
    <r>
      <rPr>
        <sz val="9.5"/>
        <rFont val="Arial MT"/>
        <family val="2"/>
      </rPr>
      <t>IPVA</t>
    </r>
  </si>
  <si>
    <r>
      <rPr>
        <sz val="9.5"/>
        <rFont val="Arial MT"/>
        <family val="2"/>
      </rPr>
      <t>R$     120,00</t>
    </r>
  </si>
  <si>
    <r>
      <rPr>
        <sz val="9.5"/>
        <rFont val="Arial MT"/>
        <family val="2"/>
      </rPr>
      <t>R$     150,00</t>
    </r>
  </si>
  <si>
    <r>
      <rPr>
        <sz val="9.5"/>
        <rFont val="Arial MT"/>
        <family val="2"/>
      </rPr>
      <t>R$     130,00</t>
    </r>
  </si>
  <si>
    <r>
      <rPr>
        <sz val="9.5"/>
        <rFont val="Arial MT"/>
        <family val="2"/>
      </rPr>
      <t>COMBUSTÍVEL</t>
    </r>
  </si>
  <si>
    <r>
      <rPr>
        <sz val="9.5"/>
        <rFont val="Arial MT"/>
        <family val="2"/>
      </rPr>
      <t>R$       65,00</t>
    </r>
  </si>
  <si>
    <r>
      <rPr>
        <sz val="9.5"/>
        <rFont val="Arial MT"/>
        <family val="2"/>
      </rPr>
      <t>ACADEMIA</t>
    </r>
  </si>
  <si>
    <r>
      <rPr>
        <sz val="9.5"/>
        <rFont val="Arial MT"/>
        <family val="2"/>
      </rPr>
      <t>R$     145,00</t>
    </r>
  </si>
  <si>
    <r>
      <rPr>
        <sz val="9.5"/>
        <rFont val="Arial MT"/>
        <family val="2"/>
      </rPr>
      <t>TOTAL DE CONTAS</t>
    </r>
  </si>
  <si>
    <r>
      <rPr>
        <sz val="9.5"/>
        <rFont val="Arial MT"/>
        <family val="2"/>
      </rPr>
      <t>SALDO</t>
    </r>
  </si>
  <si>
    <r>
      <rPr>
        <b/>
        <sz val="11.5"/>
        <rFont val="Times New Roman"/>
        <family val="1"/>
      </rPr>
      <t xml:space="preserve">FÓRMULAS:
</t>
    </r>
    <r>
      <rPr>
        <b/>
        <sz val="11.5"/>
        <rFont val="Times New Roman"/>
        <family val="1"/>
      </rPr>
      <t xml:space="preserve">Total de Contas: </t>
    </r>
    <r>
      <rPr>
        <sz val="11.5"/>
        <rFont val="Times New Roman"/>
        <family val="1"/>
      </rPr>
      <t xml:space="preserve">soma das contas de cada mês.
</t>
    </r>
    <r>
      <rPr>
        <b/>
        <sz val="11.5"/>
        <rFont val="Times New Roman"/>
        <family val="1"/>
      </rPr>
      <t xml:space="preserve">Saldo: </t>
    </r>
    <r>
      <rPr>
        <sz val="11.5"/>
        <rFont val="Times New Roman"/>
        <family val="1"/>
      </rPr>
      <t xml:space="preserve">Salário menos Total de Contas.
</t>
    </r>
    <r>
      <rPr>
        <sz val="11.5"/>
        <rFont val="Times New Roman"/>
        <family val="1"/>
      </rPr>
      <t xml:space="preserve">3)   Elaborar as planilhas abaixo, fazendo-se o que se pede:
</t>
    </r>
    <r>
      <rPr>
        <sz val="9.5"/>
        <rFont val="Arial MT"/>
        <family val="2"/>
      </rPr>
      <t>Araras Informática - Hardware e Software Rua São Francisco de Assis, 123 - Araras SP</t>
    </r>
  </si>
  <si>
    <r>
      <rPr>
        <sz val="9.5"/>
        <rFont val="Arial MT"/>
        <family val="2"/>
      </rPr>
      <t>Nº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</si>
  <si>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</si>
  <si>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Salário Bruto</t>
    </r>
  </si>
  <si>
    <r>
      <rPr>
        <sz val="9.5"/>
        <rFont val="Arial MT"/>
        <family val="2"/>
      </rPr>
      <t>INSS</t>
    </r>
  </si>
  <si>
    <r>
      <rPr>
        <sz val="9.5"/>
        <rFont val="Arial MT"/>
        <family val="2"/>
      </rPr>
      <t>Gratificação</t>
    </r>
  </si>
  <si>
    <r>
      <rPr>
        <sz val="9.5"/>
        <rFont val="Arial MT"/>
        <family val="2"/>
      </rPr>
      <t>INSS R$</t>
    </r>
  </si>
  <si>
    <r>
      <rPr>
        <sz val="9.5"/>
        <rFont val="Arial MT"/>
        <family val="2"/>
      </rPr>
      <t>Eduardo</t>
    </r>
  </si>
  <si>
    <r>
      <rPr>
        <sz val="9.5"/>
        <rFont val="Arial MT"/>
        <family val="2"/>
      </rPr>
      <t>Helena</t>
    </r>
  </si>
  <si>
    <r>
      <rPr>
        <sz val="9.5"/>
        <rFont val="Arial MT"/>
        <family val="2"/>
      </rPr>
      <t>Gabriela</t>
    </r>
  </si>
  <si>
    <r>
      <rPr>
        <sz val="9.5"/>
        <rFont val="Arial MT"/>
        <family val="2"/>
      </rPr>
      <t>Paulo</t>
    </r>
  </si>
  <si>
    <r>
      <rPr>
        <sz val="9.5"/>
        <rFont val="Arial MT"/>
        <family val="2"/>
      </rPr>
      <t>R$   658,00</t>
    </r>
  </si>
  <si>
    <r>
      <rPr>
        <sz val="9.5"/>
        <rFont val="Arial MT"/>
        <family val="2"/>
      </rPr>
      <t>Valor do Dólar</t>
    </r>
  </si>
  <si>
    <r>
      <rPr>
        <sz val="9.5"/>
        <rFont val="Arial MT"/>
        <family val="2"/>
      </rPr>
      <t>R$         2,94</t>
    </r>
  </si>
  <si>
    <r>
      <rPr>
        <sz val="9.5"/>
        <rFont val="Arial MT"/>
        <family val="2"/>
      </rPr>
      <t>Papelaria Papel Branco</t>
    </r>
  </si>
  <si>
    <r>
      <rPr>
        <sz val="9.5"/>
        <rFont val="Arial MT"/>
        <family val="2"/>
      </rPr>
      <t>Produtos</t>
    </r>
  </si>
  <si>
    <r>
      <rPr>
        <sz val="9.5"/>
        <rFont val="Arial MT"/>
        <family val="2"/>
      </rPr>
      <t>Qtde</t>
    </r>
  </si>
  <si>
    <r>
      <rPr>
        <sz val="9.5"/>
        <rFont val="Arial MT"/>
        <family val="2"/>
      </rPr>
      <t>Preço Unit.</t>
    </r>
  </si>
  <si>
    <r>
      <rPr>
        <sz val="9.5"/>
        <rFont val="Arial MT"/>
        <family val="2"/>
      </rPr>
      <t>Total R$</t>
    </r>
  </si>
  <si>
    <r>
      <rPr>
        <sz val="9.5"/>
        <rFont val="Arial MT"/>
        <family val="2"/>
      </rPr>
      <t>Caneta Azul</t>
    </r>
  </si>
  <si>
    <r>
      <rPr>
        <sz val="9.5"/>
        <rFont val="Arial MT"/>
        <family val="2"/>
      </rPr>
      <t>R$    0,15</t>
    </r>
  </si>
  <si>
    <r>
      <rPr>
        <sz val="9.5"/>
        <rFont val="Arial MT"/>
        <family val="2"/>
      </rPr>
      <t>Caneta Vermelha</t>
    </r>
  </si>
  <si>
    <r>
      <rPr>
        <sz val="9.5"/>
        <rFont val="Arial MT"/>
        <family val="2"/>
      </rPr>
      <t>Caderno</t>
    </r>
  </si>
  <si>
    <r>
      <rPr>
        <sz val="9.5"/>
        <rFont val="Arial MT"/>
        <family val="2"/>
      </rPr>
      <t>R$  10,00</t>
    </r>
  </si>
  <si>
    <r>
      <rPr>
        <sz val="9.5"/>
        <rFont val="Arial MT"/>
        <family val="2"/>
      </rPr>
      <t>Régua</t>
    </r>
  </si>
  <si>
    <r>
      <rPr>
        <sz val="9.5"/>
        <rFont val="Arial MT"/>
        <family val="2"/>
      </rPr>
      <t>R$    0,50</t>
    </r>
  </si>
  <si>
    <r>
      <rPr>
        <sz val="9.5"/>
        <rFont val="Arial MT"/>
        <family val="2"/>
      </rPr>
      <t>Lápis</t>
    </r>
  </si>
  <si>
    <r>
      <rPr>
        <sz val="9.5"/>
        <rFont val="Arial MT"/>
        <family val="2"/>
      </rPr>
      <t>R$    0,10</t>
    </r>
  </si>
  <si>
    <r>
      <rPr>
        <sz val="9.5"/>
        <rFont val="Arial MT"/>
        <family val="2"/>
      </rPr>
      <t>Papel Sulfite</t>
    </r>
  </si>
  <si>
    <r>
      <rPr>
        <sz val="9.5"/>
        <rFont val="Arial MT"/>
        <family val="2"/>
      </rPr>
      <t>Tinta Nanquim</t>
    </r>
  </si>
  <si>
    <r>
      <rPr>
        <sz val="9.5"/>
        <rFont val="Arial MT"/>
        <family val="2"/>
      </rPr>
      <t>R$    6,00</t>
    </r>
  </si>
  <si>
    <r>
      <rPr>
        <b/>
        <sz val="11.5"/>
        <rFont val="Times New Roman"/>
        <family val="1"/>
      </rPr>
      <t xml:space="preserve">FÓRMULAS:
</t>
    </r>
    <r>
      <rPr>
        <b/>
        <sz val="11.5"/>
        <rFont val="Times New Roman"/>
        <family val="1"/>
      </rPr>
      <t xml:space="preserve">Total R$: </t>
    </r>
    <r>
      <rPr>
        <sz val="11.5"/>
        <rFont val="Times New Roman"/>
        <family val="1"/>
      </rPr>
      <t xml:space="preserve">multiplicar Qtde por Preço Unitário
</t>
    </r>
    <r>
      <rPr>
        <b/>
        <sz val="11.5"/>
        <rFont val="Times New Roman"/>
        <family val="1"/>
      </rPr>
      <t xml:space="preserve">Total US$: </t>
    </r>
    <r>
      <rPr>
        <sz val="11.5"/>
        <rFont val="Times New Roman"/>
        <family val="1"/>
      </rPr>
      <t xml:space="preserve">dividir Total R$ por Valor do Dólar – usar $ nas fórmulas Alterar as colunas de acordo com a necessidade.
</t>
    </r>
    <r>
      <rPr>
        <sz val="11.5"/>
        <rFont val="Times New Roman"/>
        <family val="1"/>
      </rPr>
      <t xml:space="preserve">Elaborar a planilha abaixo, fazendo-se o que se pede:
</t>
    </r>
    <r>
      <rPr>
        <b/>
        <sz val="9.5"/>
        <rFont val="Arial"/>
        <family val="2"/>
      </rPr>
      <t>Projeção para o ano de 2003</t>
    </r>
  </si>
  <si>
    <r>
      <rPr>
        <sz val="9.5"/>
        <rFont val="Arial MT"/>
        <family val="2"/>
      </rPr>
      <t>Receita bruta</t>
    </r>
  </si>
  <si>
    <r>
      <rPr>
        <sz val="9.5"/>
        <rFont val="Arial MT"/>
        <family val="2"/>
      </rPr>
      <t>Jan-Mar</t>
    </r>
  </si>
  <si>
    <r>
      <rPr>
        <sz val="9.5"/>
        <rFont val="Arial MT"/>
        <family val="2"/>
      </rPr>
      <t>Abr-Jun</t>
    </r>
  </si>
  <si>
    <r>
      <rPr>
        <sz val="9.5"/>
        <rFont val="Arial MT"/>
        <family val="2"/>
      </rPr>
      <t>Despesa Líquida</t>
    </r>
  </si>
  <si>
    <r>
      <rPr>
        <sz val="9.5"/>
        <rFont val="Arial MT"/>
        <family val="2"/>
      </rPr>
      <t>Salários</t>
    </r>
  </si>
  <si>
    <r>
      <rPr>
        <sz val="9.5"/>
        <rFont val="Arial MT"/>
        <family val="2"/>
      </rPr>
      <t>Juros</t>
    </r>
  </si>
  <si>
    <r>
      <rPr>
        <sz val="9.5"/>
        <rFont val="Arial MT"/>
        <family val="2"/>
      </rPr>
      <t>Aluguel</t>
    </r>
  </si>
  <si>
    <r>
      <rPr>
        <sz val="9.5"/>
        <rFont val="Arial MT"/>
        <family val="2"/>
      </rPr>
      <t>Propaganda</t>
    </r>
  </si>
  <si>
    <r>
      <rPr>
        <sz val="9.5"/>
        <rFont val="Arial MT"/>
        <family val="2"/>
      </rPr>
      <t>Valor Acumulado do ano de despesas</t>
    </r>
  </si>
  <si>
    <r>
      <rPr>
        <sz val="9.5"/>
        <rFont val="Arial MT"/>
        <family val="2"/>
      </rPr>
      <t>Nome</t>
    </r>
  </si>
  <si>
    <r>
      <rPr>
        <sz val="9.5"/>
        <rFont val="Arial MT"/>
        <family val="2"/>
      </rPr>
      <t>Salário</t>
    </r>
  </si>
  <si>
    <r>
      <rPr>
        <sz val="9.5"/>
        <rFont val="Arial MT"/>
        <family val="2"/>
      </rPr>
      <t>Aumento</t>
    </r>
  </si>
  <si>
    <r>
      <rPr>
        <sz val="9.5"/>
        <rFont val="Arial MT"/>
        <family val="2"/>
      </rPr>
      <t>Novo Salário</t>
    </r>
  </si>
  <si>
    <r>
      <rPr>
        <sz val="9.5"/>
        <rFont val="Arial MT"/>
        <family val="2"/>
      </rPr>
      <t>João dos Santos</t>
    </r>
  </si>
  <si>
    <r>
      <rPr>
        <sz val="9.5"/>
        <rFont val="Arial MT"/>
        <family val="2"/>
      </rPr>
      <t>R$      900,00</t>
    </r>
  </si>
  <si>
    <r>
      <rPr>
        <sz val="9.5"/>
        <rFont val="Arial MT"/>
        <family val="2"/>
      </rPr>
      <t>R$      360,00</t>
    </r>
  </si>
  <si>
    <r>
      <rPr>
        <sz val="9.5"/>
        <rFont val="Arial MT"/>
        <family val="2"/>
      </rPr>
      <t>Maria da Silva</t>
    </r>
  </si>
  <si>
    <r>
      <rPr>
        <sz val="9.5"/>
        <rFont val="Arial MT"/>
        <family val="2"/>
      </rPr>
      <t>R$   1.200,00</t>
    </r>
  </si>
  <si>
    <r>
      <rPr>
        <sz val="9.5"/>
        <rFont val="Arial MT"/>
        <family val="2"/>
      </rPr>
      <t>Até 1000,00</t>
    </r>
  </si>
  <si>
    <r>
      <rPr>
        <sz val="9.5"/>
        <rFont val="Arial MT"/>
        <family val="2"/>
      </rPr>
      <t>Manoel das Flores</t>
    </r>
  </si>
  <si>
    <r>
      <rPr>
        <sz val="9.5"/>
        <rFont val="Arial MT"/>
        <family val="2"/>
      </rPr>
      <t>R$   1.500,00</t>
    </r>
  </si>
  <si>
    <r>
      <rPr>
        <sz val="9.5"/>
        <rFont val="Arial MT"/>
        <family val="2"/>
      </rPr>
      <t>mais 1000,00</t>
    </r>
  </si>
  <si>
    <r>
      <rPr>
        <sz val="9.5"/>
        <rFont val="Arial MT"/>
        <family val="2"/>
      </rPr>
      <t>Lambarildo Peixe</t>
    </r>
  </si>
  <si>
    <r>
      <rPr>
        <sz val="9.5"/>
        <rFont val="Arial MT"/>
        <family val="2"/>
      </rPr>
      <t>R$   2.000,00</t>
    </r>
  </si>
  <si>
    <r>
      <rPr>
        <sz val="9.5"/>
        <rFont val="Arial MT"/>
        <family val="2"/>
      </rPr>
      <t>Sebastião Souza</t>
    </r>
  </si>
  <si>
    <r>
      <rPr>
        <sz val="9.5"/>
        <rFont val="Arial MT"/>
        <family val="2"/>
      </rPr>
      <t>R$   1.400,00</t>
    </r>
  </si>
  <si>
    <r>
      <rPr>
        <sz val="9.5"/>
        <rFont val="Arial MT"/>
        <family val="2"/>
      </rPr>
      <t>Ana Flávia Silveira</t>
    </r>
  </si>
  <si>
    <r>
      <rPr>
        <sz val="9.5"/>
        <rFont val="Arial MT"/>
        <family val="2"/>
      </rPr>
      <t>Silvia Helena Santos</t>
    </r>
  </si>
  <si>
    <r>
      <rPr>
        <sz val="9.5"/>
        <rFont val="Arial MT"/>
        <family val="2"/>
      </rPr>
      <t>R$      854,00</t>
    </r>
  </si>
  <si>
    <r>
      <rPr>
        <sz val="9.5"/>
        <rFont val="Arial MT"/>
        <family val="2"/>
      </rPr>
      <t>Alberto Roberto</t>
    </r>
  </si>
  <si>
    <r>
      <rPr>
        <b/>
        <sz val="9.5"/>
        <rFont val="Arial"/>
        <family val="2"/>
      </rPr>
      <t>Nome</t>
    </r>
  </si>
  <si>
    <r>
      <rPr>
        <b/>
        <sz val="9.5"/>
        <rFont val="Arial"/>
        <family val="2"/>
      </rPr>
      <t>Endereço</t>
    </r>
  </si>
  <si>
    <r>
      <rPr>
        <b/>
        <sz val="9.5"/>
        <rFont val="Arial"/>
        <family val="2"/>
      </rPr>
      <t>Bairro</t>
    </r>
  </si>
  <si>
    <r>
      <rPr>
        <b/>
        <sz val="9.5"/>
        <rFont val="Arial"/>
        <family val="2"/>
      </rPr>
      <t>Cidade</t>
    </r>
  </si>
  <si>
    <r>
      <rPr>
        <b/>
        <sz val="9.5"/>
        <rFont val="Arial"/>
        <family val="2"/>
      </rPr>
      <t>Estado</t>
    </r>
  </si>
  <si>
    <r>
      <rPr>
        <sz val="9.5"/>
        <rFont val="Arial MT"/>
        <family val="2"/>
      </rPr>
      <t>Ana</t>
    </r>
  </si>
  <si>
    <r>
      <rPr>
        <sz val="9.5"/>
        <rFont val="Arial MT"/>
        <family val="2"/>
      </rPr>
      <t>Rodovia Anhanguera, km 180</t>
    </r>
  </si>
  <si>
    <r>
      <rPr>
        <sz val="9.5"/>
        <rFont val="Arial MT"/>
        <family val="2"/>
      </rPr>
      <t>Centro</t>
    </r>
  </si>
  <si>
    <r>
      <rPr>
        <sz val="9.5"/>
        <rFont val="Arial MT"/>
        <family val="2"/>
      </rPr>
      <t>SP</t>
    </r>
  </si>
  <si>
    <r>
      <rPr>
        <sz val="9.5"/>
        <rFont val="Arial MT"/>
        <family val="2"/>
      </rPr>
      <t>R. Antônio de Castro, 362</t>
    </r>
  </si>
  <si>
    <r>
      <rPr>
        <sz val="9.5"/>
        <rFont val="Arial MT"/>
        <family val="2"/>
      </rPr>
      <t>São Benedito</t>
    </r>
  </si>
  <si>
    <r>
      <rPr>
        <sz val="9.5"/>
        <rFont val="Arial MT"/>
        <family val="2"/>
      </rPr>
      <t>Érica</t>
    </r>
  </si>
  <si>
    <r>
      <rPr>
        <sz val="9.5"/>
        <rFont val="Arial MT"/>
        <family val="2"/>
      </rPr>
      <t>R. Tiradentes, 123</t>
    </r>
  </si>
  <si>
    <r>
      <rPr>
        <sz val="9.5"/>
        <rFont val="Arial MT"/>
        <family val="2"/>
      </rPr>
      <t>Fernanda</t>
    </r>
  </si>
  <si>
    <r>
      <rPr>
        <sz val="9.5"/>
        <rFont val="Arial MT"/>
        <family val="2"/>
      </rPr>
      <t>Av. Orozimbo Maia, 987</t>
    </r>
  </si>
  <si>
    <r>
      <rPr>
        <sz val="9.5"/>
        <rFont val="Arial MT"/>
        <family val="2"/>
      </rPr>
      <t>Jd. Nova Campinas</t>
    </r>
  </si>
  <si>
    <r>
      <rPr>
        <sz val="9.5"/>
        <rFont val="Arial MT"/>
        <family val="2"/>
      </rPr>
      <t>Rodovia Rio/São Paulo, km 77</t>
    </r>
  </si>
  <si>
    <r>
      <rPr>
        <sz val="9.5"/>
        <rFont val="Arial MT"/>
        <family val="2"/>
      </rPr>
      <t>Praia Grande</t>
    </r>
  </si>
  <si>
    <r>
      <rPr>
        <sz val="9.5"/>
        <rFont val="Arial MT"/>
        <family val="2"/>
      </rPr>
      <t>R. Júlio Mesquita, 66</t>
    </r>
  </si>
  <si>
    <r>
      <rPr>
        <sz val="9.5"/>
        <rFont val="Arial MT"/>
        <family val="2"/>
      </rPr>
      <t>Katiane</t>
    </r>
  </si>
  <si>
    <r>
      <rPr>
        <sz val="9.5"/>
        <rFont val="Arial MT"/>
        <family val="2"/>
      </rPr>
      <t>R. 5, 78</t>
    </r>
  </si>
  <si>
    <r>
      <rPr>
        <sz val="9.5"/>
        <rFont val="Arial MT"/>
        <family val="2"/>
      </rPr>
      <t>Jd. Europa</t>
    </r>
  </si>
  <si>
    <r>
      <rPr>
        <sz val="9.5"/>
        <rFont val="Arial MT"/>
        <family val="2"/>
      </rPr>
      <t>Rio Claro</t>
    </r>
  </si>
  <si>
    <r>
      <rPr>
        <sz val="9.5"/>
        <rFont val="Arial MT"/>
        <family val="2"/>
      </rPr>
      <t>Lilian</t>
    </r>
  </si>
  <si>
    <r>
      <rPr>
        <sz val="9.5"/>
        <rFont val="Arial MT"/>
        <family val="2"/>
      </rPr>
      <t>R. Lambarildo Peixe, 812</t>
    </r>
  </si>
  <si>
    <r>
      <rPr>
        <sz val="9.5"/>
        <rFont val="Arial MT"/>
        <family val="2"/>
      </rPr>
      <t>Tatiane</t>
    </r>
  </si>
  <si>
    <r>
      <rPr>
        <sz val="9.5"/>
        <rFont val="Arial MT"/>
        <family val="2"/>
      </rPr>
      <t>R. Minas Gerais, 67</t>
    </r>
  </si>
  <si>
    <r>
      <rPr>
        <sz val="9.5"/>
        <rFont val="Arial MT"/>
        <family val="2"/>
      </rPr>
      <t>Parque Industrial</t>
    </r>
  </si>
  <si>
    <r>
      <rPr>
        <sz val="9.5"/>
        <rFont val="Arial MT"/>
        <family val="2"/>
      </rPr>
      <t>Poços de Caldas</t>
    </r>
  </si>
  <si>
    <r>
      <rPr>
        <sz val="9.5"/>
        <rFont val="Arial MT"/>
        <family val="2"/>
      </rPr>
      <t>MG</t>
    </r>
  </si>
  <si>
    <r>
      <rPr>
        <sz val="9.5"/>
        <rFont val="Arial MT"/>
        <family val="2"/>
      </rPr>
      <t xml:space="preserve">Rubens                        </t>
    </r>
    <r>
      <rPr>
        <b/>
        <sz val="9.5"/>
        <rFont val="Arial"/>
        <family val="2"/>
      </rPr>
      <t>A</t>
    </r>
  </si>
  <si>
    <r>
      <rPr>
        <sz val="9.5"/>
        <rFont val="Arial MT"/>
        <family val="2"/>
      </rPr>
      <t>Endereço</t>
    </r>
  </si>
  <si>
    <r>
      <rPr>
        <b/>
        <sz val="9.5"/>
        <rFont val="Arial"/>
        <family val="2"/>
      </rPr>
      <t>B</t>
    </r>
  </si>
  <si>
    <r>
      <rPr>
        <sz val="9.5"/>
        <rFont val="Arial MT"/>
        <family val="2"/>
      </rPr>
      <t>Bairro</t>
    </r>
  </si>
  <si>
    <r>
      <rPr>
        <b/>
        <sz val="9.5"/>
        <rFont val="Arial"/>
        <family val="2"/>
      </rPr>
      <t>C</t>
    </r>
  </si>
  <si>
    <r>
      <rPr>
        <sz val="9.5"/>
        <rFont val="Arial MT"/>
        <family val="2"/>
      </rPr>
      <t>Cidade</t>
    </r>
  </si>
  <si>
    <r>
      <rPr>
        <b/>
        <sz val="9.5"/>
        <rFont val="Arial"/>
        <family val="2"/>
      </rPr>
      <t>D</t>
    </r>
  </si>
  <si>
    <r>
      <rPr>
        <sz val="9.5"/>
        <rFont val="Arial MT"/>
        <family val="2"/>
      </rPr>
      <t>Estado</t>
    </r>
  </si>
  <si>
    <r>
      <rPr>
        <b/>
        <sz val="9.5"/>
        <rFont val="Arial"/>
        <family val="2"/>
      </rPr>
      <t>E</t>
    </r>
  </si>
  <si>
    <r>
      <rPr>
        <b/>
        <sz val="10.5"/>
        <rFont val="Times New Roman"/>
        <family val="1"/>
      </rPr>
      <t>A</t>
    </r>
  </si>
  <si>
    <r>
      <rPr>
        <b/>
        <sz val="10.5"/>
        <rFont val="Times New Roman"/>
        <family val="1"/>
      </rPr>
      <t>B</t>
    </r>
  </si>
  <si>
    <r>
      <rPr>
        <b/>
        <sz val="10.5"/>
        <rFont val="Times New Roman"/>
        <family val="1"/>
      </rPr>
      <t>C</t>
    </r>
  </si>
  <si>
    <r>
      <rPr>
        <b/>
        <sz val="10.5"/>
        <rFont val="Times New Roman"/>
        <family val="1"/>
      </rPr>
      <t>D</t>
    </r>
  </si>
  <si>
    <r>
      <rPr>
        <b/>
        <sz val="10.5"/>
        <rFont val="Times New Roman"/>
        <family val="1"/>
      </rPr>
      <t>E</t>
    </r>
  </si>
  <si>
    <r>
      <rPr>
        <b/>
        <sz val="10.5"/>
        <rFont val="Times New Roman"/>
        <family val="1"/>
      </rPr>
      <t>Bolsa de Valores</t>
    </r>
  </si>
  <si>
    <r>
      <rPr>
        <b/>
        <sz val="10.5"/>
        <rFont val="Times New Roman"/>
        <family val="1"/>
      </rPr>
      <t>Relação de Movimentação Financeira da Semana</t>
    </r>
  </si>
  <si>
    <r>
      <rPr>
        <sz val="10.5"/>
        <rFont val="Times New Roman"/>
        <family val="1"/>
      </rPr>
      <t>Dias da Semana</t>
    </r>
  </si>
  <si>
    <r>
      <rPr>
        <sz val="10.5"/>
        <rFont val="Times New Roman"/>
        <family val="1"/>
      </rPr>
      <t>Valor Máximo     Valor Mínimo        Fechamento        Abertura do Pregão</t>
    </r>
  </si>
  <si>
    <r>
      <rPr>
        <sz val="10.5"/>
        <rFont val="Times New Roman"/>
        <family val="1"/>
      </rPr>
      <t xml:space="preserve">Segunda-Feira                     24.000,00            22.980,00            23.900,80                        23.000,00
</t>
    </r>
    <r>
      <rPr>
        <sz val="10.5"/>
        <rFont val="Times New Roman"/>
        <family val="1"/>
      </rPr>
      <t xml:space="preserve">Terça-Feira                         24.120,00            23.014,00            24.019,00                        23.115,00
</t>
    </r>
    <r>
      <rPr>
        <sz val="10.5"/>
        <rFont val="Times New Roman"/>
        <family val="1"/>
      </rPr>
      <t xml:space="preserve">Quarta-Feira                        24.240,00            23.129,57            24.139,60                        23.230,58
</t>
    </r>
    <r>
      <rPr>
        <sz val="10.5"/>
        <rFont val="Times New Roman"/>
        <family val="1"/>
      </rPr>
      <t xml:space="preserve">Quinta-Feira                        24.361,00            23.254,00            24.260,00                        23.346,73
</t>
    </r>
    <r>
      <rPr>
        <sz val="10.5"/>
        <rFont val="Times New Roman"/>
        <family val="1"/>
      </rPr>
      <t>Sexta-Feira                          24.483,61            23.361,45            24.381,60                        23.463,46</t>
    </r>
  </si>
  <si>
    <r>
      <rPr>
        <b/>
        <sz val="9.5"/>
        <rFont val="Times New Roman"/>
        <family val="1"/>
      </rPr>
      <t>Araras/SP</t>
    </r>
  </si>
  <si>
    <r>
      <rPr>
        <b/>
        <sz val="9.5"/>
        <rFont val="Times New Roman"/>
        <family val="1"/>
      </rPr>
      <t>Valor do Dólar:</t>
    </r>
  </si>
  <si>
    <r>
      <rPr>
        <sz val="9.5"/>
        <rFont val="Times New Roman"/>
        <family val="1"/>
      </rPr>
      <t>Reais</t>
    </r>
  </si>
  <si>
    <r>
      <rPr>
        <sz val="9.5"/>
        <rFont val="Times New Roman"/>
        <family val="1"/>
      </rPr>
      <t>Dólar</t>
    </r>
  </si>
  <si>
    <r>
      <rPr>
        <sz val="9.5"/>
        <rFont val="Times New Roman"/>
        <family val="1"/>
      </rPr>
      <t>Produto</t>
    </r>
  </si>
  <si>
    <r>
      <rPr>
        <sz val="9.5"/>
        <rFont val="Times New Roman"/>
        <family val="1"/>
      </rPr>
      <t>Estoque</t>
    </r>
  </si>
  <si>
    <r>
      <rPr>
        <sz val="9.5"/>
        <rFont val="Times New Roman"/>
        <family val="1"/>
      </rPr>
      <t>Custo</t>
    </r>
  </si>
  <si>
    <r>
      <rPr>
        <sz val="9.5"/>
        <rFont val="Times New Roman"/>
        <family val="1"/>
      </rPr>
      <t>Venda</t>
    </r>
  </si>
  <si>
    <r>
      <rPr>
        <sz val="9.5"/>
        <rFont val="Times New Roman"/>
        <family val="1"/>
      </rPr>
      <t>Total</t>
    </r>
  </si>
  <si>
    <r>
      <rPr>
        <sz val="9.5"/>
        <rFont val="Times New Roman"/>
        <family val="1"/>
      </rPr>
      <t>Borracha</t>
    </r>
  </si>
  <si>
    <r>
      <rPr>
        <sz val="9.5"/>
        <rFont val="Times New Roman"/>
        <family val="1"/>
      </rPr>
      <t>Caderno 100 fls</t>
    </r>
  </si>
  <si>
    <r>
      <rPr>
        <sz val="9.5"/>
        <rFont val="Times New Roman"/>
        <family val="1"/>
      </rPr>
      <t>Caderno 200 fls</t>
    </r>
  </si>
  <si>
    <r>
      <rPr>
        <sz val="9.5"/>
        <rFont val="Times New Roman"/>
        <family val="1"/>
      </rPr>
      <t>Caneta Azul</t>
    </r>
  </si>
  <si>
    <r>
      <rPr>
        <sz val="9.5"/>
        <rFont val="Times New Roman"/>
        <family val="1"/>
      </rPr>
      <t>Lapiseira</t>
    </r>
  </si>
  <si>
    <r>
      <rPr>
        <sz val="9.5"/>
        <rFont val="Times New Roman"/>
        <family val="1"/>
      </rPr>
      <t>Régua 15 cm</t>
    </r>
  </si>
  <si>
    <r>
      <rPr>
        <sz val="9.5"/>
        <rFont val="Times New Roman"/>
        <family val="1"/>
      </rPr>
      <t>Régua 30 cm</t>
    </r>
  </si>
  <si>
    <r>
      <rPr>
        <sz val="9.5"/>
        <rFont val="Times New Roman"/>
        <family val="1"/>
      </rPr>
      <t>Giz de Cera</t>
    </r>
  </si>
  <si>
    <r>
      <rPr>
        <sz val="9.5"/>
        <rFont val="Times New Roman"/>
        <family val="1"/>
      </rPr>
      <t>Cola</t>
    </r>
  </si>
  <si>
    <r>
      <rPr>
        <sz val="9.5"/>
        <rFont val="Times New Roman"/>
        <family val="1"/>
      </rPr>
      <t>Compasso</t>
    </r>
  </si>
  <si>
    <r>
      <rPr>
        <sz val="9.5"/>
        <rFont val="Times New Roman"/>
        <family val="1"/>
      </rPr>
      <t>Totais</t>
    </r>
  </si>
  <si>
    <t xml:space="preserve"> </t>
  </si>
  <si>
    <t>Código</t>
  </si>
  <si>
    <t>Total do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</si>
</sst>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9.5"/>
      <name val="Arial MT"/>
    </font>
    <font>
      <sz val="9.5"/>
      <color rgb="FF000000"/>
      <name val="Arial MT"/>
      <family val="2"/>
    </font>
    <font>
      <sz val="11.5"/>
      <name val="Times New Roman"/>
      <family val="1"/>
    </font>
    <font>
      <b/>
      <sz val="10.5"/>
      <name val="Times New Roman"/>
      <family val="1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9.5"/>
      <name val="Times New Roman"/>
      <family val="1"/>
    </font>
    <font>
      <sz val="9.5"/>
      <color rgb="FF000000"/>
      <name val="Times New Roman"/>
      <family val="2"/>
    </font>
    <font>
      <sz val="9.5"/>
      <name val="Times New Roman"/>
      <family val="1"/>
    </font>
    <font>
      <sz val="9.5"/>
      <name val="Arial MT"/>
      <family val="2"/>
    </font>
    <font>
      <b/>
      <sz val="11.5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.5"/>
      <color indexed="8"/>
      <name val="Arial"/>
      <family val="2"/>
    </font>
    <font>
      <b/>
      <sz val="10"/>
      <color indexed="8"/>
      <name val="Times New Roman"/>
      <family val="1"/>
    </font>
    <font>
      <b/>
      <sz val="9.5"/>
      <color rgb="FF000000"/>
      <name val="Times New Roman"/>
      <family val="2"/>
    </font>
    <font>
      <b/>
      <sz val="9.5"/>
      <name val="Arial MT"/>
    </font>
    <font>
      <b/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2"/>
    </xf>
    <xf numFmtId="1" fontId="4" fillId="0" borderId="2" xfId="0" applyNumberFormat="1" applyFont="1" applyBorder="1" applyAlignment="1">
      <alignment horizontal="center" vertical="top" shrinkToFit="1"/>
    </xf>
    <xf numFmtId="10" fontId="4" fillId="0" borderId="2" xfId="0" applyNumberFormat="1" applyFont="1" applyBorder="1" applyAlignment="1">
      <alignment horizontal="right" vertical="top" shrinkToFit="1"/>
    </xf>
    <xf numFmtId="10" fontId="4" fillId="0" borderId="5" xfId="0" applyNumberFormat="1" applyFont="1" applyBorder="1" applyAlignment="1">
      <alignment horizontal="left" vertical="top" indent="3" shrinkToFit="1"/>
    </xf>
    <xf numFmtId="10" fontId="4" fillId="0" borderId="6" xfId="0" applyNumberFormat="1" applyFont="1" applyBorder="1" applyAlignment="1">
      <alignment horizontal="left" vertical="top" indent="3" shrinkToFit="1"/>
    </xf>
    <xf numFmtId="0" fontId="0" fillId="0" borderId="9" xfId="0" applyBorder="1" applyAlignment="1">
      <alignment horizontal="left" wrapText="1"/>
    </xf>
    <xf numFmtId="1" fontId="4" fillId="0" borderId="2" xfId="0" applyNumberFormat="1" applyFont="1" applyBorder="1" applyAlignment="1">
      <alignment horizontal="right" vertical="top" shrinkToFit="1"/>
    </xf>
    <xf numFmtId="4" fontId="4" fillId="0" borderId="5" xfId="0" applyNumberFormat="1" applyFont="1" applyBorder="1" applyAlignment="1">
      <alignment horizontal="left" vertical="top" indent="3" shrinkToFit="1"/>
    </xf>
    <xf numFmtId="4" fontId="4" fillId="0" borderId="6" xfId="0" applyNumberFormat="1" applyFont="1" applyBorder="1" applyAlignment="1">
      <alignment horizontal="left" vertical="top" indent="3" shrinkToFit="1"/>
    </xf>
    <xf numFmtId="4" fontId="4" fillId="0" borderId="4" xfId="0" applyNumberFormat="1" applyFont="1" applyBorder="1" applyAlignment="1">
      <alignment horizontal="left" vertical="top" indent="3" shrinkToFit="1"/>
    </xf>
    <xf numFmtId="0" fontId="0" fillId="0" borderId="14" xfId="0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9" fontId="4" fillId="0" borderId="2" xfId="0" applyNumberFormat="1" applyFont="1" applyBorder="1" applyAlignment="1">
      <alignment horizontal="right" vertical="top" shrinkToFit="1"/>
    </xf>
    <xf numFmtId="0" fontId="6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10" fontId="10" fillId="0" borderId="2" xfId="0" applyNumberFormat="1" applyFont="1" applyBorder="1" applyAlignment="1">
      <alignment horizontal="right" vertical="top" shrinkToFit="1"/>
    </xf>
    <xf numFmtId="2" fontId="10" fillId="0" borderId="2" xfId="0" applyNumberFormat="1" applyFont="1" applyBorder="1" applyAlignment="1">
      <alignment horizontal="right" vertical="top" shrinkToFit="1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1" fontId="10" fillId="0" borderId="2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10" fontId="4" fillId="0" borderId="5" xfId="0" applyNumberFormat="1" applyFont="1" applyBorder="1" applyAlignment="1">
      <alignment horizontal="left" vertical="top" indent="3" shrinkToFit="1"/>
    </xf>
    <xf numFmtId="10" fontId="4" fillId="0" borderId="6" xfId="0" applyNumberFormat="1" applyFont="1" applyBorder="1" applyAlignment="1">
      <alignment horizontal="left" vertical="top" indent="3" shrinkToFit="1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1" fontId="4" fillId="0" borderId="5" xfId="0" applyNumberFormat="1" applyFont="1" applyBorder="1" applyAlignment="1">
      <alignment horizontal="right" vertical="top" shrinkToFit="1"/>
    </xf>
    <xf numFmtId="1" fontId="4" fillId="0" borderId="6" xfId="0" applyNumberFormat="1" applyFont="1" applyBorder="1" applyAlignment="1">
      <alignment horizontal="right" vertical="top" shrinkToFit="1"/>
    </xf>
    <xf numFmtId="4" fontId="4" fillId="0" borderId="5" xfId="0" applyNumberFormat="1" applyFont="1" applyBorder="1" applyAlignment="1">
      <alignment horizontal="left" vertical="top" indent="3" shrinkToFit="1"/>
    </xf>
    <xf numFmtId="4" fontId="4" fillId="0" borderId="6" xfId="0" applyNumberFormat="1" applyFont="1" applyBorder="1" applyAlignment="1">
      <alignment horizontal="left" vertical="top" indent="3" shrinkToFit="1"/>
    </xf>
    <xf numFmtId="4" fontId="4" fillId="0" borderId="4" xfId="0" applyNumberFormat="1" applyFont="1" applyBorder="1" applyAlignment="1">
      <alignment horizontal="left" vertical="top" indent="3" shrinkToFit="1"/>
    </xf>
    <xf numFmtId="0" fontId="0" fillId="0" borderId="11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 indent="12"/>
    </xf>
    <xf numFmtId="0" fontId="1" fillId="0" borderId="4" xfId="0" applyFont="1" applyBorder="1" applyAlignment="1">
      <alignment horizontal="left" vertical="top" wrapText="1" indent="12"/>
    </xf>
    <xf numFmtId="0" fontId="1" fillId="0" borderId="6" xfId="0" applyFont="1" applyBorder="1" applyAlignment="1">
      <alignment horizontal="left" vertical="top" wrapText="1" indent="12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15" xfId="0" applyBorder="1" applyAlignment="1">
      <alignment horizontal="left" wrapText="1"/>
    </xf>
    <xf numFmtId="0" fontId="8" fillId="0" borderId="3" xfId="0" applyFont="1" applyBorder="1" applyAlignment="1">
      <alignment horizontal="left" vertical="top" wrapText="1" indent="23"/>
    </xf>
    <xf numFmtId="0" fontId="8" fillId="0" borderId="0" xfId="0" applyFont="1" applyAlignment="1">
      <alignment horizontal="left" vertical="top" wrapText="1" indent="23"/>
    </xf>
    <xf numFmtId="0" fontId="8" fillId="0" borderId="12" xfId="0" applyFont="1" applyBorder="1" applyAlignment="1">
      <alignment horizontal="left" vertical="top" wrapText="1" indent="23"/>
    </xf>
    <xf numFmtId="0" fontId="8" fillId="0" borderId="10" xfId="0" applyFont="1" applyBorder="1" applyAlignment="1">
      <alignment horizontal="left" vertical="top" wrapText="1" indent="23"/>
    </xf>
    <xf numFmtId="0" fontId="8" fillId="0" borderId="5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9" fillId="0" borderId="3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4" fontId="4" fillId="0" borderId="12" xfId="0" applyNumberFormat="1" applyFont="1" applyBorder="1" applyAlignment="1">
      <alignment horizontal="left" vertical="top" indent="3" shrinkToFit="1"/>
    </xf>
    <xf numFmtId="4" fontId="4" fillId="0" borderId="17" xfId="0" applyNumberFormat="1" applyFont="1" applyBorder="1" applyAlignment="1">
      <alignment horizontal="left" vertical="top" indent="3" shrinkToFit="1"/>
    </xf>
    <xf numFmtId="4" fontId="4" fillId="0" borderId="10" xfId="0" applyNumberFormat="1" applyFont="1" applyBorder="1" applyAlignment="1">
      <alignment horizontal="left" vertical="top" indent="3" shrinkToFit="1"/>
    </xf>
    <xf numFmtId="1" fontId="4" fillId="0" borderId="16" xfId="0" applyNumberFormat="1" applyFont="1" applyBorder="1" applyAlignment="1">
      <alignment horizontal="center" vertical="top" shrinkToFit="1"/>
    </xf>
    <xf numFmtId="0" fontId="3" fillId="0" borderId="16" xfId="0" applyFont="1" applyBorder="1" applyAlignment="1">
      <alignment horizontal="right" vertical="top" wrapText="1"/>
    </xf>
    <xf numFmtId="10" fontId="4" fillId="0" borderId="16" xfId="0" applyNumberFormat="1" applyFont="1" applyBorder="1" applyAlignment="1">
      <alignment horizontal="right" vertical="top" shrinkToFit="1"/>
    </xf>
    <xf numFmtId="10" fontId="4" fillId="0" borderId="12" xfId="0" applyNumberFormat="1" applyFont="1" applyBorder="1" applyAlignment="1">
      <alignment horizontal="left" vertical="top" indent="3" shrinkToFit="1"/>
    </xf>
    <xf numFmtId="10" fontId="4" fillId="0" borderId="17" xfId="0" applyNumberFormat="1" applyFont="1" applyBorder="1" applyAlignment="1">
      <alignment horizontal="left" vertical="top" indent="3" shrinkToFit="1"/>
    </xf>
    <xf numFmtId="0" fontId="0" fillId="0" borderId="12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4" fontId="4" fillId="0" borderId="15" xfId="0" applyNumberFormat="1" applyFont="1" applyBorder="1" applyAlignment="1">
      <alignment horizontal="left" vertical="top" indent="3" shrinkToFit="1"/>
    </xf>
    <xf numFmtId="4" fontId="4" fillId="0" borderId="14" xfId="0" applyNumberFormat="1" applyFont="1" applyBorder="1" applyAlignment="1">
      <alignment horizontal="left" vertical="top" indent="3" shrinkToFit="1"/>
    </xf>
    <xf numFmtId="4" fontId="4" fillId="0" borderId="11" xfId="0" applyNumberFormat="1" applyFont="1" applyBorder="1" applyAlignment="1">
      <alignment horizontal="left" vertical="top" indent="3" shrinkToFit="1"/>
    </xf>
    <xf numFmtId="1" fontId="4" fillId="0" borderId="19" xfId="0" applyNumberFormat="1" applyFont="1" applyBorder="1" applyAlignment="1">
      <alignment horizontal="center" vertical="top" shrinkToFit="1"/>
    </xf>
    <xf numFmtId="0" fontId="3" fillId="0" borderId="19" xfId="0" applyFont="1" applyBorder="1" applyAlignment="1">
      <alignment horizontal="right" vertical="top" wrapText="1"/>
    </xf>
    <xf numFmtId="10" fontId="4" fillId="0" borderId="19" xfId="0" applyNumberFormat="1" applyFont="1" applyBorder="1" applyAlignment="1">
      <alignment horizontal="right" vertical="top" shrinkToFit="1"/>
    </xf>
    <xf numFmtId="10" fontId="4" fillId="0" borderId="15" xfId="0" applyNumberFormat="1" applyFont="1" applyBorder="1" applyAlignment="1">
      <alignment horizontal="left" vertical="top" indent="3" shrinkToFit="1"/>
    </xf>
    <xf numFmtId="10" fontId="4" fillId="0" borderId="14" xfId="0" applyNumberFormat="1" applyFont="1" applyBorder="1" applyAlignment="1">
      <alignment horizontal="left" vertical="top" indent="3" shrinkToFit="1"/>
    </xf>
    <xf numFmtId="4" fontId="0" fillId="0" borderId="2" xfId="0" applyNumberFormat="1" applyBorder="1" applyAlignment="1">
      <alignment horizontal="right" wrapText="1"/>
    </xf>
    <xf numFmtId="0" fontId="0" fillId="0" borderId="0" xfId="0" applyAlignment="1">
      <alignment horizontal="right" vertical="top"/>
    </xf>
    <xf numFmtId="0" fontId="9" fillId="0" borderId="0" xfId="0" applyFont="1" applyAlignment="1">
      <alignment horizontal="right" vertical="top" wrapText="1"/>
    </xf>
    <xf numFmtId="0" fontId="0" fillId="0" borderId="0" xfId="0" applyAlignment="1">
      <alignment horizontal="right" wrapText="1"/>
    </xf>
    <xf numFmtId="0" fontId="11" fillId="0" borderId="5" xfId="0" applyFont="1" applyBorder="1" applyAlignment="1">
      <alignment horizontal="right" vertical="top" wrapText="1"/>
    </xf>
    <xf numFmtId="0" fontId="11" fillId="0" borderId="4" xfId="0" applyFont="1" applyBorder="1" applyAlignment="1">
      <alignment horizontal="right" vertical="top" wrapText="1"/>
    </xf>
    <xf numFmtId="0" fontId="11" fillId="0" borderId="6" xfId="0" applyFon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11" fillId="0" borderId="2" xfId="0" applyFont="1" applyBorder="1" applyAlignment="1">
      <alignment horizontal="right" vertical="top" wrapText="1" indent="1"/>
    </xf>
    <xf numFmtId="0" fontId="9" fillId="0" borderId="0" xfId="0" applyFont="1" applyAlignment="1">
      <alignment horizontal="right" vertical="top" wrapText="1"/>
    </xf>
    <xf numFmtId="0" fontId="11" fillId="0" borderId="2" xfId="0" applyFont="1" applyBorder="1" applyAlignment="1">
      <alignment horizontal="right" vertical="top" wrapText="1" indent="2"/>
    </xf>
    <xf numFmtId="0" fontId="0" fillId="0" borderId="2" xfId="0" applyBorder="1" applyAlignment="1">
      <alignment horizontal="right" wrapText="1"/>
    </xf>
    <xf numFmtId="0" fontId="6" fillId="0" borderId="4" xfId="0" applyFon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8" fillId="0" borderId="0" xfId="0" applyFont="1" applyAlignment="1">
      <alignment horizontal="right" vertical="top" wrapText="1" indent="23"/>
    </xf>
    <xf numFmtId="0" fontId="8" fillId="0" borderId="1" xfId="0" applyFont="1" applyBorder="1" applyAlignment="1">
      <alignment horizontal="right" vertical="top" wrapText="1" indent="23"/>
    </xf>
    <xf numFmtId="0" fontId="8" fillId="0" borderId="10" xfId="0" applyFont="1" applyBorder="1" applyAlignment="1">
      <alignment horizontal="right" vertical="top" wrapText="1" indent="23"/>
    </xf>
    <xf numFmtId="0" fontId="8" fillId="0" borderId="13" xfId="0" applyFont="1" applyBorder="1" applyAlignment="1">
      <alignment horizontal="right" vertical="top" wrapText="1" indent="23"/>
    </xf>
    <xf numFmtId="0" fontId="3" fillId="0" borderId="2" xfId="0" applyFont="1" applyBorder="1" applyAlignment="1">
      <alignment horizontal="right" vertical="top" wrapText="1" indent="1"/>
    </xf>
    <xf numFmtId="0" fontId="0" fillId="0" borderId="12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11" xfId="0" applyBorder="1" applyAlignment="1">
      <alignment horizontal="right" wrapText="1"/>
    </xf>
    <xf numFmtId="0" fontId="3" fillId="0" borderId="4" xfId="0" applyFont="1" applyBorder="1" applyAlignment="1">
      <alignment horizontal="right" vertical="top" wrapText="1" indent="2"/>
    </xf>
    <xf numFmtId="0" fontId="3" fillId="0" borderId="5" xfId="0" applyFont="1" applyBorder="1" applyAlignment="1">
      <alignment horizontal="right" vertical="top" wrapText="1" indent="1"/>
    </xf>
    <xf numFmtId="0" fontId="3" fillId="0" borderId="6" xfId="0" applyFont="1" applyBorder="1" applyAlignment="1">
      <alignment horizontal="right" vertical="top" wrapText="1" inden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3" fillId="0" borderId="6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0" fillId="0" borderId="15" xfId="0" applyBorder="1" applyAlignment="1">
      <alignment horizontal="right" vertical="top" wrapText="1"/>
    </xf>
    <xf numFmtId="4" fontId="15" fillId="0" borderId="2" xfId="0" applyNumberFormat="1" applyFont="1" applyBorder="1" applyAlignment="1">
      <alignment horizontal="right" wrapText="1"/>
    </xf>
    <xf numFmtId="0" fontId="15" fillId="0" borderId="0" xfId="0" applyFont="1" applyAlignment="1">
      <alignment horizontal="right" vertical="top"/>
    </xf>
    <xf numFmtId="2" fontId="18" fillId="0" borderId="2" xfId="0" applyNumberFormat="1" applyFont="1" applyBorder="1" applyAlignment="1">
      <alignment horizontal="right" vertical="top" shrinkToFit="1"/>
    </xf>
    <xf numFmtId="0" fontId="15" fillId="0" borderId="2" xfId="0" applyFont="1" applyBorder="1" applyAlignment="1">
      <alignment horizontal="right" wrapText="1"/>
    </xf>
    <xf numFmtId="0" fontId="15" fillId="0" borderId="3" xfId="0" applyFont="1" applyBorder="1" applyAlignment="1">
      <alignment horizontal="right" vertical="top" wrapText="1"/>
    </xf>
    <xf numFmtId="0" fontId="15" fillId="0" borderId="11" xfId="0" applyFont="1" applyBorder="1" applyAlignment="1">
      <alignment horizontal="right" vertical="top" wrapText="1"/>
    </xf>
    <xf numFmtId="0" fontId="15" fillId="0" borderId="14" xfId="0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top" wrapText="1"/>
    </xf>
    <xf numFmtId="0" fontId="19" fillId="0" borderId="2" xfId="0" applyFont="1" applyBorder="1" applyAlignment="1">
      <alignment horizontal="right" vertical="top" wrapText="1"/>
    </xf>
    <xf numFmtId="0" fontId="15" fillId="0" borderId="5" xfId="0" applyFont="1" applyBorder="1" applyAlignment="1">
      <alignment horizontal="right" wrapText="1"/>
    </xf>
    <xf numFmtId="0" fontId="15" fillId="0" borderId="6" xfId="0" applyFont="1" applyBorder="1" applyAlignment="1">
      <alignment horizontal="right" wrapText="1"/>
    </xf>
    <xf numFmtId="0" fontId="15" fillId="0" borderId="0" xfId="0" applyFont="1" applyAlignment="1">
      <alignment horizontal="right" vertical="top" wrapText="1"/>
    </xf>
    <xf numFmtId="0" fontId="19" fillId="0" borderId="6" xfId="0" applyFont="1" applyBorder="1" applyAlignment="1">
      <alignment horizontal="right" vertical="top" wrapText="1"/>
    </xf>
    <xf numFmtId="1" fontId="20" fillId="0" borderId="5" xfId="0" applyNumberFormat="1" applyFont="1" applyBorder="1" applyAlignment="1">
      <alignment horizontal="right" vertical="top" indent="5" shrinkToFit="1"/>
    </xf>
    <xf numFmtId="1" fontId="20" fillId="0" borderId="6" xfId="0" applyNumberFormat="1" applyFont="1" applyBorder="1" applyAlignment="1">
      <alignment horizontal="right" vertical="top" indent="5" shrinkToFit="1"/>
    </xf>
    <xf numFmtId="0" fontId="19" fillId="0" borderId="5" xfId="0" applyFont="1" applyBorder="1" applyAlignment="1">
      <alignment horizontal="right" vertical="top" wrapText="1" indent="1"/>
    </xf>
    <xf numFmtId="0" fontId="19" fillId="0" borderId="6" xfId="0" applyFont="1" applyBorder="1" applyAlignment="1">
      <alignment horizontal="right" vertical="top" wrapText="1" indent="1"/>
    </xf>
    <xf numFmtId="0" fontId="19" fillId="0" borderId="5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4" fontId="4" fillId="0" borderId="5" xfId="0" applyNumberFormat="1" applyFont="1" applyBorder="1" applyAlignment="1">
      <alignment horizontal="right" vertical="top" indent="3" shrinkToFit="1"/>
    </xf>
    <xf numFmtId="4" fontId="4" fillId="0" borderId="6" xfId="0" applyNumberFormat="1" applyFont="1" applyBorder="1" applyAlignment="1">
      <alignment horizontal="right" vertical="top" indent="3" shrinkToFit="1"/>
    </xf>
    <xf numFmtId="4" fontId="4" fillId="0" borderId="4" xfId="0" applyNumberFormat="1" applyFont="1" applyBorder="1" applyAlignment="1">
      <alignment horizontal="right" vertical="top" indent="3" shrinkToFit="1"/>
    </xf>
    <xf numFmtId="4" fontId="4" fillId="0" borderId="5" xfId="0" applyNumberFormat="1" applyFont="1" applyBorder="1" applyAlignment="1">
      <alignment horizontal="right" vertical="top" indent="3" shrinkToFit="1"/>
    </xf>
    <xf numFmtId="1" fontId="2" fillId="0" borderId="2" xfId="0" applyNumberFormat="1" applyFont="1" applyBorder="1" applyAlignment="1">
      <alignment horizontal="right" vertical="top" shrinkToFit="1"/>
    </xf>
    <xf numFmtId="0" fontId="11" fillId="0" borderId="2" xfId="0" applyFont="1" applyBorder="1" applyAlignment="1">
      <alignment horizontal="right" vertical="top" wrapText="1"/>
    </xf>
    <xf numFmtId="2" fontId="0" fillId="0" borderId="2" xfId="0" applyNumberFormat="1" applyBorder="1" applyAlignment="1">
      <alignment horizontal="right" wrapText="1"/>
    </xf>
    <xf numFmtId="1" fontId="7" fillId="0" borderId="2" xfId="0" applyNumberFormat="1" applyFont="1" applyBorder="1" applyAlignment="1">
      <alignment horizontal="right" vertical="top" shrinkToFit="1"/>
    </xf>
    <xf numFmtId="0" fontId="0" fillId="0" borderId="9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0" xfId="0" applyAlignment="1">
      <alignment horizontal="right" wrapText="1" indent="2"/>
    </xf>
    <xf numFmtId="0" fontId="0" fillId="0" borderId="1" xfId="0" applyBorder="1" applyAlignment="1">
      <alignment horizontal="right" wrapText="1" indent="2"/>
    </xf>
    <xf numFmtId="0" fontId="0" fillId="0" borderId="7" xfId="0" applyBorder="1" applyAlignment="1">
      <alignment horizontal="right" wrapText="1" indent="2"/>
    </xf>
    <xf numFmtId="0" fontId="0" fillId="0" borderId="8" xfId="0" applyBorder="1" applyAlignment="1">
      <alignment horizontal="right" wrapText="1" indent="2"/>
    </xf>
    <xf numFmtId="0" fontId="5" fillId="0" borderId="10" xfId="0" applyFont="1" applyBorder="1" applyAlignment="1">
      <alignment horizontal="right" wrapText="1"/>
    </xf>
    <xf numFmtId="0" fontId="3" fillId="0" borderId="5" xfId="0" applyFont="1" applyBorder="1" applyAlignment="1">
      <alignment horizontal="right" vertical="top" wrapText="1" indent="2"/>
    </xf>
    <xf numFmtId="0" fontId="3" fillId="0" borderId="6" xfId="0" applyFont="1" applyBorder="1" applyAlignment="1">
      <alignment horizontal="right" vertical="top" wrapText="1" indent="2"/>
    </xf>
    <xf numFmtId="0" fontId="3" fillId="0" borderId="5" xfId="0" applyFont="1" applyBorder="1" applyAlignment="1">
      <alignment horizontal="right" vertical="top" wrapText="1" indent="2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/>
    </xf>
    <xf numFmtId="1" fontId="10" fillId="0" borderId="2" xfId="0" applyNumberFormat="1" applyFont="1" applyBorder="1" applyAlignment="1">
      <alignment horizontal="center" vertical="top" shrinkToFit="1"/>
    </xf>
    <xf numFmtId="2" fontId="10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right" vertical="top" wrapText="1"/>
    </xf>
    <xf numFmtId="0" fontId="19" fillId="0" borderId="5" xfId="0" applyFont="1" applyBorder="1" applyAlignment="1">
      <alignment horizontal="right" vertical="top" wrapText="1"/>
    </xf>
    <xf numFmtId="4" fontId="20" fillId="0" borderId="5" xfId="0" applyNumberFormat="1" applyFont="1" applyBorder="1" applyAlignment="1">
      <alignment horizontal="right" vertical="top" indent="3" shrinkToFit="1"/>
    </xf>
    <xf numFmtId="4" fontId="20" fillId="0" borderId="6" xfId="0" applyNumberFormat="1" applyFont="1" applyBorder="1" applyAlignment="1">
      <alignment horizontal="right" vertical="top" indent="3" shrinkToFit="1"/>
    </xf>
    <xf numFmtId="4" fontId="20" fillId="0" borderId="4" xfId="0" applyNumberFormat="1" applyFont="1" applyBorder="1" applyAlignment="1">
      <alignment horizontal="right" vertical="top" indent="3" shrinkToFit="1"/>
    </xf>
    <xf numFmtId="4" fontId="20" fillId="0" borderId="5" xfId="0" applyNumberFormat="1" applyFont="1" applyBorder="1" applyAlignment="1">
      <alignment horizontal="right" vertical="top" indent="3" shrinkToFit="1"/>
    </xf>
    <xf numFmtId="0" fontId="15" fillId="0" borderId="3" xfId="0" applyFont="1" applyBorder="1" applyAlignment="1">
      <alignment horizontal="left" vertical="top" wrapText="1"/>
    </xf>
    <xf numFmtId="10" fontId="20" fillId="0" borderId="2" xfId="0" applyNumberFormat="1" applyFont="1" applyBorder="1" applyAlignment="1">
      <alignment horizontal="right" vertical="top" shrinkToFit="1"/>
    </xf>
    <xf numFmtId="10" fontId="20" fillId="0" borderId="5" xfId="0" applyNumberFormat="1" applyFont="1" applyBorder="1" applyAlignment="1">
      <alignment horizontal="right" vertical="top" indent="3" shrinkToFit="1"/>
    </xf>
    <xf numFmtId="10" fontId="20" fillId="0" borderId="6" xfId="0" applyNumberFormat="1" applyFont="1" applyBorder="1" applyAlignment="1">
      <alignment horizontal="right" vertical="top" indent="3" shrinkToFit="1"/>
    </xf>
    <xf numFmtId="0" fontId="15" fillId="0" borderId="5" xfId="0" applyFont="1" applyBorder="1" applyAlignment="1">
      <alignment horizontal="right" wrapText="1"/>
    </xf>
    <xf numFmtId="0" fontId="15" fillId="0" borderId="6" xfId="0" applyFont="1" applyBorder="1" applyAlignment="1">
      <alignment horizontal="right" wrapText="1"/>
    </xf>
    <xf numFmtId="0" fontId="15" fillId="0" borderId="1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center" vertical="center" wrapText="1" shrinkToFit="1"/>
    </xf>
    <xf numFmtId="0" fontId="15" fillId="0" borderId="18" xfId="0" applyFont="1" applyBorder="1" applyAlignment="1">
      <alignment horizontal="center" vertical="center"/>
    </xf>
    <xf numFmtId="4" fontId="15" fillId="0" borderId="18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 shrinkToFit="1"/>
    </xf>
    <xf numFmtId="0" fontId="17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4" fontId="20" fillId="0" borderId="18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0</xdr:rowOff>
    </xdr:from>
    <xdr:ext cx="64135" cy="6286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4135" cy="641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8</xdr:col>
      <xdr:colOff>0</xdr:colOff>
      <xdr:row>41</xdr:row>
      <xdr:rowOff>0</xdr:rowOff>
    </xdr:from>
    <xdr:ext cx="62865" cy="6286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8</xdr:col>
      <xdr:colOff>0</xdr:colOff>
      <xdr:row>0</xdr:row>
      <xdr:rowOff>0</xdr:rowOff>
    </xdr:from>
    <xdr:ext cx="62865" cy="641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45</xdr:row>
      <xdr:rowOff>2010165</xdr:rowOff>
    </xdr:from>
    <xdr:ext cx="64135" cy="6286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278008</xdr:colOff>
      <xdr:row>45</xdr:row>
      <xdr:rowOff>2010165</xdr:rowOff>
    </xdr:from>
    <xdr:ext cx="62865" cy="6286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12</xdr:col>
      <xdr:colOff>283470</xdr:colOff>
      <xdr:row>0</xdr:row>
      <xdr:rowOff>47244</xdr:rowOff>
    </xdr:from>
    <xdr:ext cx="62865" cy="6413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45</xdr:row>
      <xdr:rowOff>2947424</xdr:rowOff>
    </xdr:from>
    <xdr:ext cx="64135" cy="6286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11</xdr:col>
      <xdr:colOff>279278</xdr:colOff>
      <xdr:row>45</xdr:row>
      <xdr:rowOff>2947424</xdr:rowOff>
    </xdr:from>
    <xdr:ext cx="62865" cy="6286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11</xdr:col>
      <xdr:colOff>283469</xdr:colOff>
      <xdr:row>0</xdr:row>
      <xdr:rowOff>47244</xdr:rowOff>
    </xdr:from>
    <xdr:ext cx="62865" cy="6413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1671837</xdr:rowOff>
    </xdr:from>
    <xdr:ext cx="64135" cy="6286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10</xdr:col>
      <xdr:colOff>0</xdr:colOff>
      <xdr:row>51</xdr:row>
      <xdr:rowOff>1671837</xdr:rowOff>
    </xdr:from>
    <xdr:ext cx="62865" cy="6286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10</xdr:col>
      <xdr:colOff>0</xdr:colOff>
      <xdr:row>0</xdr:row>
      <xdr:rowOff>47244</xdr:rowOff>
    </xdr:from>
    <xdr:ext cx="62865" cy="6413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8</xdr:col>
      <xdr:colOff>290708</xdr:colOff>
      <xdr:row>51</xdr:row>
      <xdr:rowOff>1671837</xdr:rowOff>
    </xdr:from>
    <xdr:ext cx="62865" cy="6286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ECD869D0-8D29-4F6B-B023-6F85CEEB1C36}"/>
            </a:ext>
          </a:extLst>
        </xdr:cNvPr>
        <xdr:cNvSpPr/>
      </xdr:nvSpPr>
      <xdr:spPr>
        <a:xfrm>
          <a:off x="6853433" y="8415537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8</xdr:col>
      <xdr:colOff>283470</xdr:colOff>
      <xdr:row>0</xdr:row>
      <xdr:rowOff>47244</xdr:rowOff>
    </xdr:from>
    <xdr:ext cx="62865" cy="64135"/>
    <xdr:sp macro="" textlink="">
      <xdr:nvSpPr>
        <xdr:cNvPr id="7" name="Shape 17">
          <a:extLst>
            <a:ext uri="{FF2B5EF4-FFF2-40B4-BE49-F238E27FC236}">
              <a16:creationId xmlns:a16="http://schemas.microsoft.com/office/drawing/2014/main" id="{F7F57507-F38F-4247-918D-B701D85D4A2B}"/>
            </a:ext>
          </a:extLst>
        </xdr:cNvPr>
        <xdr:cNvSpPr/>
      </xdr:nvSpPr>
      <xdr:spPr>
        <a:xfrm>
          <a:off x="6846195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207818</xdr:colOff>
      <xdr:row>15</xdr:row>
      <xdr:rowOff>457965</xdr:rowOff>
    </xdr:from>
    <xdr:ext cx="5349480" cy="3546133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49480" cy="3546133"/>
        </a:xfrm>
        <a:prstGeom prst="rect">
          <a:avLst/>
        </a:prstGeom>
      </xdr:spPr>
    </xdr:pic>
    <xdr:clientData/>
  </xdr:oneCellAnchor>
  <xdr:absoluteAnchor>
    <xdr:pos x="47244" y="9301108"/>
    <xdr:ext cx="64135" cy="6286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absoluteAnchor>
    <xdr:pos x="7021073" y="9301108"/>
    <xdr:ext cx="62865" cy="6286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7</xdr:col>
      <xdr:colOff>283470</xdr:colOff>
      <xdr:row>0</xdr:row>
      <xdr:rowOff>47244</xdr:rowOff>
    </xdr:from>
    <xdr:ext cx="62865" cy="6413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47244" y="9298440"/>
    <xdr:ext cx="64135" cy="6286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0" y="0"/>
          <a:ext cx="64135" cy="62865"/>
        </a:xfrm>
        <a:custGeom>
          <a:avLst/>
          <a:gdLst/>
          <a:ahLst/>
          <a:cxnLst/>
          <a:rect l="0" t="0" r="0" b="0"/>
          <a:pathLst>
            <a:path w="64135" h="62865">
              <a:moveTo>
                <a:pt x="0" y="0"/>
              </a:moveTo>
              <a:lnTo>
                <a:pt x="0" y="62483"/>
              </a:lnTo>
              <a:lnTo>
                <a:pt x="64007" y="62483"/>
              </a:lnTo>
              <a:lnTo>
                <a:pt x="0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0</xdr:col>
      <xdr:colOff>0</xdr:colOff>
      <xdr:row>0</xdr:row>
      <xdr:rowOff>47244</xdr:rowOff>
    </xdr:from>
    <xdr:ext cx="64135" cy="6413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absoluteAnchor>
    <xdr:pos x="7021073" y="9298440"/>
    <xdr:ext cx="62865" cy="6286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483" y="0"/>
              </a:moveTo>
              <a:lnTo>
                <a:pt x="0" y="62483"/>
              </a:lnTo>
              <a:lnTo>
                <a:pt x="62483" y="62483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absoluteAnchor>
  <xdr:oneCellAnchor>
    <xdr:from>
      <xdr:col>8</xdr:col>
      <xdr:colOff>283470</xdr:colOff>
      <xdr:row>0</xdr:row>
      <xdr:rowOff>47244</xdr:rowOff>
    </xdr:from>
    <xdr:ext cx="62865" cy="6413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0" y="0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F15" sqref="F15"/>
    </sheetView>
  </sheetViews>
  <sheetFormatPr defaultRowHeight="12.75"/>
  <cols>
    <col min="1" max="1" width="8.83203125" customWidth="1"/>
    <col min="2" max="2" width="10.5" customWidth="1"/>
    <col min="3" max="4" width="12.6640625" customWidth="1"/>
    <col min="5" max="5" width="12.83203125" customWidth="1"/>
    <col min="6" max="6" width="16" customWidth="1"/>
    <col min="7" max="8" width="11.1640625" customWidth="1"/>
    <col min="9" max="9" width="10" customWidth="1"/>
  </cols>
  <sheetData>
    <row r="1" spans="1:10" ht="13.7" customHeight="1">
      <c r="A1" s="2" t="s">
        <v>181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 ht="13.5" customHeight="1">
      <c r="A2" s="5">
        <v>1</v>
      </c>
      <c r="B2" s="6" t="s">
        <v>9</v>
      </c>
      <c r="C2" s="7">
        <v>4500</v>
      </c>
      <c r="D2" s="7">
        <v>5040</v>
      </c>
      <c r="E2" s="7">
        <v>5696</v>
      </c>
      <c r="F2" s="128">
        <f>SUM(C2:E2)</f>
        <v>15236</v>
      </c>
      <c r="G2" s="128">
        <f>MAX(C2:E2)</f>
        <v>5696</v>
      </c>
      <c r="H2" s="128">
        <f>MIN(C2:E2)</f>
        <v>4500</v>
      </c>
      <c r="I2" s="128">
        <f>AVERAGE(C2:E2)</f>
        <v>5078.666666666667</v>
      </c>
    </row>
    <row r="3" spans="1:10" ht="13.5" customHeight="1">
      <c r="A3" s="5">
        <v>2</v>
      </c>
      <c r="B3" s="6" t="s">
        <v>10</v>
      </c>
      <c r="C3" s="7">
        <v>6250</v>
      </c>
      <c r="D3" s="7">
        <v>7000</v>
      </c>
      <c r="E3" s="7">
        <v>7910</v>
      </c>
      <c r="F3" s="128">
        <f>SUM(C3:E3)</f>
        <v>21160</v>
      </c>
      <c r="G3" s="128">
        <f>MAX(C3:E3)</f>
        <v>7910</v>
      </c>
      <c r="H3" s="128">
        <f t="shared" ref="H3:H7" si="0">MIN(C3:E3)</f>
        <v>6250</v>
      </c>
      <c r="I3" s="128">
        <f t="shared" ref="I3:I7" si="1">AVERAGE(C3:E3)</f>
        <v>7053.333333333333</v>
      </c>
    </row>
    <row r="4" spans="1:10" ht="13.5" customHeight="1">
      <c r="A4" s="5">
        <v>3</v>
      </c>
      <c r="B4" s="6" t="s">
        <v>11</v>
      </c>
      <c r="C4" s="7">
        <v>3300</v>
      </c>
      <c r="D4" s="7">
        <v>3696</v>
      </c>
      <c r="E4" s="7">
        <v>4176</v>
      </c>
      <c r="F4" s="128">
        <f t="shared" ref="F4:F7" si="2">SUM(C4:E4)</f>
        <v>11172</v>
      </c>
      <c r="G4" s="128">
        <f>MAX(C4:E4)</f>
        <v>4176</v>
      </c>
      <c r="H4" s="128">
        <f t="shared" si="0"/>
        <v>3300</v>
      </c>
      <c r="I4" s="128">
        <f t="shared" si="1"/>
        <v>3724</v>
      </c>
    </row>
    <row r="5" spans="1:10" ht="13.5" customHeight="1">
      <c r="A5" s="5">
        <v>4</v>
      </c>
      <c r="B5" s="6" t="s">
        <v>12</v>
      </c>
      <c r="C5" s="7">
        <v>8000</v>
      </c>
      <c r="D5" s="7">
        <v>8690</v>
      </c>
      <c r="E5" s="7">
        <v>10125</v>
      </c>
      <c r="F5" s="128">
        <f t="shared" si="2"/>
        <v>26815</v>
      </c>
      <c r="G5" s="128">
        <f>MAX(C5:E5)</f>
        <v>10125</v>
      </c>
      <c r="H5" s="128">
        <f t="shared" si="0"/>
        <v>8000</v>
      </c>
      <c r="I5" s="128">
        <f t="shared" si="1"/>
        <v>8938.3333333333339</v>
      </c>
    </row>
    <row r="6" spans="1:10" ht="13.5" customHeight="1">
      <c r="A6" s="5">
        <v>5</v>
      </c>
      <c r="B6" s="6" t="s">
        <v>13</v>
      </c>
      <c r="C6" s="7">
        <v>4557</v>
      </c>
      <c r="D6" s="7">
        <v>5104</v>
      </c>
      <c r="E6" s="7">
        <v>5676</v>
      </c>
      <c r="F6" s="128">
        <f t="shared" si="2"/>
        <v>15337</v>
      </c>
      <c r="G6" s="128">
        <f t="shared" ref="G6:G7" si="3">MAX(C6:E6)</f>
        <v>5676</v>
      </c>
      <c r="H6" s="128">
        <f t="shared" si="0"/>
        <v>4557</v>
      </c>
      <c r="I6" s="128">
        <f t="shared" si="1"/>
        <v>5112.333333333333</v>
      </c>
    </row>
    <row r="7" spans="1:10" ht="13.5" customHeight="1">
      <c r="A7" s="5">
        <v>6</v>
      </c>
      <c r="B7" s="6" t="s">
        <v>14</v>
      </c>
      <c r="C7" s="7">
        <v>3260</v>
      </c>
      <c r="D7" s="7">
        <v>3640</v>
      </c>
      <c r="E7" s="7">
        <v>4113</v>
      </c>
      <c r="F7" s="128">
        <f t="shared" si="2"/>
        <v>11013</v>
      </c>
      <c r="G7" s="128">
        <f t="shared" si="3"/>
        <v>4113</v>
      </c>
      <c r="H7" s="128">
        <f t="shared" si="0"/>
        <v>3260</v>
      </c>
      <c r="I7" s="128">
        <f t="shared" si="1"/>
        <v>3671</v>
      </c>
    </row>
    <row r="8" spans="1:10" ht="14.25" customHeight="1">
      <c r="A8" s="42"/>
      <c r="B8" s="42"/>
      <c r="C8" s="42"/>
      <c r="D8" s="42"/>
      <c r="E8" s="42"/>
      <c r="F8" s="42"/>
      <c r="G8" s="42"/>
      <c r="H8" s="42"/>
    </row>
    <row r="9" spans="1:10" ht="14.25" customHeight="1">
      <c r="A9" s="2" t="s">
        <v>15</v>
      </c>
      <c r="B9" s="139"/>
      <c r="C9" s="162">
        <f>SUM(C2:C7)</f>
        <v>29867</v>
      </c>
      <c r="D9" s="162">
        <f>SUM(D2:D7)</f>
        <v>33170</v>
      </c>
      <c r="E9" s="162">
        <f>SUM(E2:E7)</f>
        <v>37696</v>
      </c>
      <c r="F9" s="162">
        <f>SUM(F2:F7)</f>
        <v>100733</v>
      </c>
      <c r="G9" s="162">
        <f>SUM(G2:G7)</f>
        <v>37696</v>
      </c>
      <c r="H9" s="162">
        <f>SUM(H2:H7)</f>
        <v>29867</v>
      </c>
      <c r="I9" s="162">
        <f>SUM(I2:I7)</f>
        <v>33577.666666666672</v>
      </c>
    </row>
    <row r="10" spans="1:10" ht="14.25" customHeight="1">
      <c r="A10" s="143"/>
      <c r="B10" s="143"/>
      <c r="C10" s="143"/>
      <c r="D10" s="143"/>
      <c r="E10" s="143"/>
      <c r="F10" s="143"/>
      <c r="G10" s="143"/>
      <c r="H10" s="143"/>
      <c r="I10" s="129"/>
      <c r="J10" s="129"/>
    </row>
    <row r="11" spans="1:10" s="210" customFormat="1" ht="13.7" customHeight="1">
      <c r="A11" s="4" t="s">
        <v>0</v>
      </c>
      <c r="B11" s="4" t="s">
        <v>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6</v>
      </c>
      <c r="H11" s="4" t="s">
        <v>7</v>
      </c>
      <c r="I11" s="4" t="s">
        <v>8</v>
      </c>
    </row>
    <row r="12" spans="1:10" ht="13.5" customHeight="1">
      <c r="A12" s="186">
        <v>1</v>
      </c>
      <c r="B12" s="14" t="s">
        <v>9</v>
      </c>
      <c r="C12" s="7">
        <v>6265</v>
      </c>
      <c r="D12" s="7">
        <v>6954</v>
      </c>
      <c r="E12" s="7">
        <v>7858</v>
      </c>
      <c r="F12" s="128">
        <f>SUM(C12:E12)</f>
        <v>21077</v>
      </c>
      <c r="G12" s="128">
        <f>MAX(C12:E12)</f>
        <v>7858</v>
      </c>
      <c r="H12" s="128">
        <f>MIN(C12:E12)</f>
        <v>6265</v>
      </c>
      <c r="I12" s="128">
        <f>AVERAGE(C12:E12)</f>
        <v>7025.666666666667</v>
      </c>
      <c r="J12" s="129"/>
    </row>
    <row r="13" spans="1:10" ht="13.5" customHeight="1">
      <c r="A13" s="186">
        <v>2</v>
      </c>
      <c r="B13" s="14" t="s">
        <v>10</v>
      </c>
      <c r="C13" s="7">
        <v>8701</v>
      </c>
      <c r="D13" s="7">
        <v>9658</v>
      </c>
      <c r="E13" s="7">
        <v>10197</v>
      </c>
      <c r="F13" s="128">
        <f>SUM(C13:E13)</f>
        <v>28556</v>
      </c>
      <c r="G13" s="128">
        <f>MAX(C13:E13)</f>
        <v>10197</v>
      </c>
      <c r="H13" s="128">
        <f>MIN(C13:E13)</f>
        <v>8701</v>
      </c>
      <c r="I13" s="128">
        <f>AVERAGE(C13:E13)</f>
        <v>9518.6666666666661</v>
      </c>
      <c r="J13" s="129"/>
    </row>
    <row r="14" spans="1:10" ht="13.5" customHeight="1">
      <c r="A14" s="186">
        <v>3</v>
      </c>
      <c r="B14" s="14" t="s">
        <v>11</v>
      </c>
      <c r="C14" s="7">
        <v>4569</v>
      </c>
      <c r="D14" s="7">
        <v>5099</v>
      </c>
      <c r="E14" s="7">
        <v>5769</v>
      </c>
      <c r="F14" s="128">
        <f>SUM(C14:E14)</f>
        <v>15437</v>
      </c>
      <c r="G14" s="128">
        <f>MAX(C14:E14)</f>
        <v>5769</v>
      </c>
      <c r="H14" s="128">
        <f>MIN(C14:E14)</f>
        <v>4569</v>
      </c>
      <c r="I14" s="128">
        <f>AVERAGE(C14:E14)</f>
        <v>5145.666666666667</v>
      </c>
      <c r="J14" s="129"/>
    </row>
    <row r="15" spans="1:10" ht="13.5" customHeight="1">
      <c r="A15" s="186">
        <v>4</v>
      </c>
      <c r="B15" s="14" t="s">
        <v>12</v>
      </c>
      <c r="C15" s="7">
        <v>12341</v>
      </c>
      <c r="D15" s="7">
        <v>12365</v>
      </c>
      <c r="E15" s="7">
        <v>13969</v>
      </c>
      <c r="F15" s="128">
        <f>SUM(C15:E15)</f>
        <v>38675</v>
      </c>
      <c r="G15" s="128">
        <f>MAX(C15:E15)</f>
        <v>13969</v>
      </c>
      <c r="H15" s="128">
        <f>MIN(C15:E15)</f>
        <v>12341</v>
      </c>
      <c r="I15" s="128">
        <f>AVERAGE(C15:E15)</f>
        <v>12891.666666666666</v>
      </c>
      <c r="J15" s="129"/>
    </row>
    <row r="16" spans="1:10" ht="13.5" customHeight="1">
      <c r="A16" s="186">
        <v>5</v>
      </c>
      <c r="B16" s="14" t="s">
        <v>13</v>
      </c>
      <c r="C16" s="7">
        <v>6344</v>
      </c>
      <c r="D16" s="7">
        <v>7042</v>
      </c>
      <c r="E16" s="7">
        <v>7957</v>
      </c>
      <c r="F16" s="128">
        <f>SUM(C16:E16)</f>
        <v>21343</v>
      </c>
      <c r="G16" s="128">
        <f>MAX(C16:E16)</f>
        <v>7957</v>
      </c>
      <c r="H16" s="128">
        <f>MIN(C16:E16)</f>
        <v>6344</v>
      </c>
      <c r="I16" s="128">
        <f>AVERAGE(C16:E16)</f>
        <v>7114.333333333333</v>
      </c>
      <c r="J16" s="129"/>
    </row>
    <row r="17" spans="1:10" ht="13.5" customHeight="1">
      <c r="A17" s="186">
        <v>6</v>
      </c>
      <c r="B17" s="14" t="s">
        <v>14</v>
      </c>
      <c r="C17" s="7">
        <v>4525</v>
      </c>
      <c r="D17" s="7">
        <v>5022</v>
      </c>
      <c r="E17" s="7">
        <v>5671</v>
      </c>
      <c r="F17" s="128">
        <f>SUM(C17:E17)</f>
        <v>15218</v>
      </c>
      <c r="G17" s="128">
        <f>MAX(C17:E17)</f>
        <v>5671</v>
      </c>
      <c r="H17" s="128">
        <f>MIN(C17:E17)</f>
        <v>4525</v>
      </c>
      <c r="I17" s="128">
        <f>AVERAGE(C17:E17)</f>
        <v>5072.666666666667</v>
      </c>
      <c r="J17" s="129"/>
    </row>
    <row r="18" spans="1:10" ht="14.25" customHeight="1">
      <c r="A18" s="42"/>
      <c r="B18" s="42"/>
      <c r="C18" s="42"/>
      <c r="D18" s="42"/>
      <c r="E18" s="42"/>
      <c r="F18" s="42"/>
      <c r="G18" s="42"/>
      <c r="H18" s="42"/>
    </row>
    <row r="19" spans="1:10" s="129" customFormat="1" ht="14.25" customHeight="1">
      <c r="A19" s="3" t="s">
        <v>15</v>
      </c>
      <c r="B19" s="139"/>
      <c r="C19" s="162">
        <f>SUM(C12:C17)</f>
        <v>42745</v>
      </c>
      <c r="D19" s="162">
        <f>SUM(D12:D17)</f>
        <v>46140</v>
      </c>
      <c r="E19" s="162">
        <f>SUM(E12:E17)</f>
        <v>51421</v>
      </c>
      <c r="F19" s="162">
        <f>SUM(F12:F17)</f>
        <v>140306</v>
      </c>
      <c r="G19" s="162">
        <f>SUM(G12:G17)</f>
        <v>51421</v>
      </c>
      <c r="H19" s="162">
        <f>SUM(H12:H17)</f>
        <v>42745</v>
      </c>
      <c r="I19" s="162">
        <f>SUM(I12:I17)</f>
        <v>46768.666666666664</v>
      </c>
    </row>
    <row r="20" spans="1:10" ht="14.25" customHeight="1">
      <c r="A20" s="99"/>
      <c r="B20" s="98"/>
      <c r="C20" s="98"/>
      <c r="D20" s="98"/>
      <c r="E20" s="98"/>
      <c r="F20" s="98"/>
      <c r="G20" s="98"/>
      <c r="H20" s="98"/>
      <c r="I20" s="98"/>
    </row>
    <row r="21" spans="1:10" s="163" customFormat="1" ht="30" customHeight="1">
      <c r="A21" s="238" t="s">
        <v>182</v>
      </c>
      <c r="B21" s="239"/>
      <c r="C21" s="240">
        <f>SUM(C9+C19)</f>
        <v>72612</v>
      </c>
      <c r="D21" s="240">
        <f>SUM(D9+D19)</f>
        <v>79310</v>
      </c>
      <c r="E21" s="240">
        <f>SUM(E9+E19)</f>
        <v>89117</v>
      </c>
      <c r="F21" s="240">
        <f>SUM(F9+F19)</f>
        <v>241039</v>
      </c>
      <c r="G21" s="240">
        <f>SUM(G9+G19)</f>
        <v>89117</v>
      </c>
      <c r="H21" s="240">
        <f>SUM(H9+H19)</f>
        <v>72612</v>
      </c>
      <c r="I21" s="240">
        <f>SUM(I9+I19)</f>
        <v>80346.333333333343</v>
      </c>
    </row>
    <row r="22" spans="1:10" ht="14.25" customHeight="1">
      <c r="A22" s="99"/>
      <c r="B22" s="98"/>
      <c r="C22" s="98"/>
      <c r="D22" s="98"/>
      <c r="E22" s="98"/>
      <c r="F22" s="98"/>
      <c r="G22" s="98"/>
      <c r="H22" s="98"/>
      <c r="I22" s="98"/>
    </row>
    <row r="23" spans="1:10" ht="14.25" customHeight="1">
      <c r="A23" s="99"/>
      <c r="B23" s="98"/>
      <c r="C23" s="98"/>
      <c r="D23" s="98"/>
      <c r="E23" s="98"/>
      <c r="F23" s="98"/>
      <c r="G23" s="98"/>
      <c r="H23" s="98"/>
      <c r="I23" s="98"/>
    </row>
    <row r="24" spans="1:10" ht="14.25" customHeight="1">
      <c r="A24" s="99"/>
      <c r="B24" s="98"/>
      <c r="C24" s="98"/>
      <c r="D24" s="98"/>
      <c r="E24" s="98"/>
      <c r="F24" s="98"/>
      <c r="G24" s="98"/>
      <c r="H24" s="98"/>
      <c r="I24" s="98"/>
    </row>
    <row r="25" spans="1:10" ht="14.25" customHeight="1">
      <c r="A25" s="99"/>
      <c r="B25" s="98"/>
      <c r="C25" s="98"/>
      <c r="D25" s="98"/>
      <c r="E25" s="98"/>
      <c r="F25" s="98"/>
      <c r="G25" s="98"/>
      <c r="H25" s="98"/>
      <c r="I25" s="98"/>
    </row>
    <row r="26" spans="1:10" ht="14.25" customHeight="1">
      <c r="A26" s="99"/>
      <c r="B26" s="98"/>
      <c r="C26" s="98"/>
      <c r="D26" s="98"/>
      <c r="E26" s="98"/>
      <c r="F26" s="98"/>
      <c r="G26" s="98"/>
      <c r="H26" s="98"/>
      <c r="I26" s="98"/>
    </row>
    <row r="27" spans="1:10" ht="14.25" customHeight="1">
      <c r="A27" s="99"/>
      <c r="B27" s="98"/>
      <c r="C27" s="98"/>
      <c r="D27" s="98"/>
      <c r="E27" s="98"/>
      <c r="F27" s="98"/>
      <c r="G27" s="98"/>
      <c r="H27" s="98"/>
      <c r="I27" s="98"/>
    </row>
    <row r="28" spans="1:10" ht="14.25" customHeight="1">
      <c r="A28" s="99"/>
      <c r="B28" s="98"/>
      <c r="C28" s="98"/>
      <c r="D28" s="98"/>
      <c r="E28" s="98"/>
      <c r="F28" s="98"/>
      <c r="G28" s="98"/>
      <c r="H28" s="98"/>
      <c r="I28" s="98"/>
    </row>
    <row r="29" spans="1:10" ht="14.25" customHeight="1">
      <c r="A29" s="99"/>
      <c r="B29" s="98"/>
      <c r="C29" s="98"/>
      <c r="D29" s="98"/>
      <c r="E29" s="98"/>
      <c r="F29" s="98"/>
      <c r="G29" s="98"/>
      <c r="H29" s="98"/>
      <c r="I29" s="98"/>
    </row>
    <row r="30" spans="1:10" ht="14.25" customHeight="1">
      <c r="A30" s="99"/>
      <c r="B30" s="98"/>
      <c r="C30" s="98"/>
      <c r="D30" s="98"/>
      <c r="E30" s="98"/>
      <c r="F30" s="98"/>
      <c r="G30" s="98"/>
      <c r="H30" s="98"/>
      <c r="I30" s="98"/>
    </row>
    <row r="31" spans="1:10" ht="14.25" customHeight="1">
      <c r="A31" s="99"/>
      <c r="B31" s="98"/>
      <c r="C31" s="98"/>
      <c r="D31" s="98"/>
      <c r="E31" s="98"/>
      <c r="F31" s="98"/>
      <c r="G31" s="98"/>
      <c r="H31" s="98"/>
      <c r="I31" s="98"/>
    </row>
    <row r="32" spans="1:10" ht="14.25" customHeight="1">
      <c r="A32" s="99"/>
      <c r="B32" s="98"/>
      <c r="C32" s="98"/>
      <c r="D32" s="98"/>
      <c r="E32" s="98"/>
      <c r="F32" s="98"/>
      <c r="G32" s="98"/>
      <c r="H32" s="98"/>
      <c r="I32" s="98"/>
    </row>
    <row r="33" spans="1:10" ht="14.25" customHeight="1">
      <c r="A33" s="99"/>
      <c r="B33" s="98"/>
      <c r="C33" s="98"/>
      <c r="D33" s="98"/>
      <c r="E33" s="98"/>
      <c r="F33" s="98"/>
      <c r="G33" s="98"/>
      <c r="H33" s="98"/>
      <c r="I33" s="98"/>
    </row>
    <row r="34" spans="1:10" ht="14.25" customHeight="1">
      <c r="A34" s="99"/>
      <c r="B34" s="98"/>
      <c r="C34" s="98"/>
      <c r="D34" s="98"/>
      <c r="E34" s="98"/>
      <c r="F34" s="98"/>
      <c r="G34" s="98"/>
      <c r="H34" s="98"/>
      <c r="I34" s="98"/>
    </row>
    <row r="35" spans="1:10" ht="14.25" customHeight="1">
      <c r="A35" s="99"/>
      <c r="B35" s="98"/>
      <c r="C35" s="98"/>
      <c r="D35" s="98"/>
      <c r="E35" s="98"/>
      <c r="F35" s="98"/>
      <c r="G35" s="98"/>
      <c r="H35" s="98"/>
      <c r="I35" s="98"/>
    </row>
    <row r="36" spans="1:10" ht="14.25" customHeight="1">
      <c r="A36" s="99"/>
      <c r="B36" s="98"/>
      <c r="C36" s="98"/>
      <c r="D36" s="98"/>
      <c r="E36" s="98"/>
      <c r="F36" s="98"/>
      <c r="G36" s="98"/>
      <c r="H36" s="98"/>
      <c r="I36" s="98"/>
    </row>
    <row r="37" spans="1:10" ht="14.25" customHeight="1">
      <c r="A37" s="99"/>
      <c r="B37" s="98"/>
      <c r="C37" s="98"/>
      <c r="D37" s="98"/>
      <c r="E37" s="98"/>
      <c r="F37" s="98"/>
      <c r="G37" s="98"/>
      <c r="H37" s="98"/>
      <c r="I37" s="98"/>
    </row>
    <row r="38" spans="1:10" ht="14.25" customHeight="1">
      <c r="A38" s="99"/>
      <c r="B38" s="98"/>
      <c r="C38" s="98"/>
      <c r="D38" s="98"/>
      <c r="E38" s="98"/>
      <c r="F38" s="98"/>
      <c r="G38" s="98"/>
      <c r="H38" s="98"/>
      <c r="I38" s="98"/>
    </row>
    <row r="39" spans="1:10" ht="14.25" customHeight="1">
      <c r="A39" s="99"/>
      <c r="B39" s="98"/>
      <c r="C39" s="98"/>
      <c r="D39" s="98"/>
      <c r="E39" s="98"/>
      <c r="F39" s="98"/>
      <c r="G39" s="98"/>
      <c r="H39" s="98"/>
      <c r="I39" s="98"/>
    </row>
    <row r="40" spans="1:10" ht="14.25" customHeight="1">
      <c r="A40" s="99"/>
      <c r="B40" s="98"/>
      <c r="C40" s="98"/>
      <c r="D40" s="98"/>
      <c r="E40" s="98"/>
      <c r="F40" s="98"/>
      <c r="G40" s="98"/>
      <c r="H40" s="98"/>
      <c r="I40" s="98"/>
    </row>
    <row r="41" spans="1:10" ht="14.25" customHeight="1">
      <c r="A41" s="99"/>
      <c r="B41" s="98"/>
      <c r="C41" s="98"/>
      <c r="D41" s="98"/>
      <c r="E41" s="98"/>
      <c r="F41" s="98"/>
      <c r="G41" s="98"/>
      <c r="H41" s="98"/>
      <c r="I41" s="98"/>
    </row>
    <row r="44" spans="1:10">
      <c r="J44" s="97" t="s">
        <v>180</v>
      </c>
    </row>
  </sheetData>
  <mergeCells count="4">
    <mergeCell ref="A21:B21"/>
    <mergeCell ref="A18:H18"/>
    <mergeCell ref="A10:H10"/>
    <mergeCell ref="A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tabSelected="1" workbookViewId="0">
      <selection activeCell="F15" sqref="F15"/>
    </sheetView>
  </sheetViews>
  <sheetFormatPr defaultRowHeight="12.75"/>
  <cols>
    <col min="1" max="1" width="4.83203125" customWidth="1"/>
    <col min="2" max="2" width="16.6640625" customWidth="1"/>
    <col min="3" max="3" width="2" customWidth="1"/>
    <col min="4" max="4" width="13.5" customWidth="1"/>
    <col min="5" max="5" width="12.83203125" customWidth="1"/>
    <col min="6" max="6" width="1.1640625" customWidth="1"/>
    <col min="7" max="7" width="11.83203125" customWidth="1"/>
    <col min="8" max="8" width="2.5" customWidth="1"/>
    <col min="9" max="9" width="10.6640625" customWidth="1"/>
    <col min="10" max="10" width="8.83203125" customWidth="1"/>
  </cols>
  <sheetData>
    <row r="1" spans="1:10" ht="13.5" customHeight="1">
      <c r="A1" s="51" t="s">
        <v>181</v>
      </c>
      <c r="B1" s="52"/>
      <c r="C1" s="53" t="s">
        <v>20</v>
      </c>
      <c r="D1" s="54"/>
      <c r="E1" s="53" t="s">
        <v>21</v>
      </c>
      <c r="F1" s="54"/>
      <c r="G1" s="53" t="s">
        <v>22</v>
      </c>
      <c r="H1" s="54"/>
      <c r="I1" s="48"/>
      <c r="J1" s="55"/>
    </row>
    <row r="2" spans="1:10" ht="13.5" customHeight="1">
      <c r="A2" s="53" t="s">
        <v>23</v>
      </c>
      <c r="B2" s="54"/>
      <c r="C2" s="56" t="s">
        <v>24</v>
      </c>
      <c r="D2" s="57"/>
      <c r="E2" s="53" t="s">
        <v>25</v>
      </c>
      <c r="F2" s="159"/>
      <c r="G2" s="160">
        <f>MAX(C2:E2)</f>
        <v>0</v>
      </c>
      <c r="H2" s="159"/>
      <c r="I2" s="152"/>
      <c r="J2" s="55"/>
    </row>
    <row r="3" spans="1:10" ht="14.25" customHeight="1">
      <c r="A3" s="42"/>
      <c r="B3" s="42"/>
      <c r="C3" s="42"/>
      <c r="D3" s="42"/>
      <c r="E3" s="42"/>
      <c r="F3" s="143"/>
      <c r="G3" s="143"/>
      <c r="H3" s="143"/>
      <c r="I3" s="131"/>
      <c r="J3" s="43"/>
    </row>
    <row r="4" spans="1:10" ht="13.5" customHeight="1">
      <c r="A4" s="53" t="s">
        <v>26</v>
      </c>
      <c r="B4" s="54"/>
      <c r="C4" s="51"/>
      <c r="D4" s="52"/>
      <c r="E4" s="51"/>
      <c r="F4" s="158"/>
      <c r="G4" s="157"/>
      <c r="H4" s="158"/>
      <c r="I4" s="135"/>
      <c r="J4" s="58"/>
    </row>
    <row r="5" spans="1:10" ht="13.5" customHeight="1">
      <c r="A5" s="53" t="s">
        <v>27</v>
      </c>
      <c r="B5" s="54"/>
      <c r="C5" s="56" t="s">
        <v>28</v>
      </c>
      <c r="D5" s="57"/>
      <c r="E5" s="53" t="s">
        <v>29</v>
      </c>
      <c r="F5" s="159"/>
      <c r="G5" s="160" t="s">
        <v>29</v>
      </c>
      <c r="H5" s="159"/>
      <c r="I5" s="135"/>
      <c r="J5" s="58"/>
    </row>
    <row r="6" spans="1:10" ht="13.5" customHeight="1">
      <c r="A6" s="53" t="s">
        <v>30</v>
      </c>
      <c r="B6" s="54"/>
      <c r="C6" s="56" t="s">
        <v>31</v>
      </c>
      <c r="D6" s="57"/>
      <c r="E6" s="53" t="s">
        <v>32</v>
      </c>
      <c r="F6" s="159"/>
      <c r="G6" s="160" t="s">
        <v>33</v>
      </c>
      <c r="H6" s="159"/>
      <c r="I6" s="135"/>
      <c r="J6" s="58"/>
    </row>
    <row r="7" spans="1:10" ht="13.5" customHeight="1">
      <c r="A7" s="53" t="s">
        <v>34</v>
      </c>
      <c r="B7" s="54"/>
      <c r="C7" s="56">
        <v>3260</v>
      </c>
      <c r="D7" s="57"/>
      <c r="E7" s="53" t="s">
        <v>36</v>
      </c>
      <c r="F7" s="159"/>
      <c r="G7" s="160" t="s">
        <v>35</v>
      </c>
      <c r="H7" s="159"/>
      <c r="I7" s="135"/>
      <c r="J7" s="58"/>
    </row>
    <row r="8" spans="1:10" ht="13.5" customHeight="1">
      <c r="A8" s="53" t="s">
        <v>37</v>
      </c>
      <c r="B8" s="54"/>
      <c r="C8" s="56" t="s">
        <v>38</v>
      </c>
      <c r="D8" s="57"/>
      <c r="E8" s="53" t="s">
        <v>38</v>
      </c>
      <c r="F8" s="54"/>
      <c r="G8" s="53" t="s">
        <v>38</v>
      </c>
      <c r="H8" s="54"/>
      <c r="I8" s="40"/>
      <c r="J8" s="58"/>
    </row>
    <row r="9" spans="1:10" ht="13.5" customHeight="1">
      <c r="A9" s="53" t="s">
        <v>39</v>
      </c>
      <c r="B9" s="159"/>
      <c r="C9" s="177">
        <f>SUM(C2:C7)</f>
        <v>3260</v>
      </c>
      <c r="D9" s="178"/>
      <c r="E9" s="179">
        <f>SUM(E2:E7)</f>
        <v>0</v>
      </c>
      <c r="F9" s="174"/>
      <c r="G9" s="179">
        <f>SUM(G2:G7)</f>
        <v>0</v>
      </c>
      <c r="H9" s="174"/>
      <c r="I9" s="166"/>
      <c r="J9" s="58"/>
    </row>
    <row r="10" spans="1:10" ht="13.5" customHeight="1">
      <c r="A10" s="160"/>
      <c r="B10" s="159"/>
      <c r="C10" s="155" t="s">
        <v>40</v>
      </c>
      <c r="D10" s="156"/>
      <c r="E10" s="160" t="s">
        <v>41</v>
      </c>
      <c r="F10" s="159"/>
      <c r="G10" s="160" t="s">
        <v>42</v>
      </c>
      <c r="H10" s="159"/>
      <c r="I10" s="135"/>
      <c r="J10" s="141"/>
    </row>
    <row r="11" spans="1:10" s="210" customFormat="1" ht="13.5" customHeight="1">
      <c r="A11" s="222" t="s">
        <v>43</v>
      </c>
      <c r="B11" s="223"/>
      <c r="C11" s="222" t="s">
        <v>31</v>
      </c>
      <c r="D11" s="223"/>
      <c r="E11" s="222" t="s">
        <v>32</v>
      </c>
      <c r="F11" s="223"/>
      <c r="G11" s="222" t="s">
        <v>44</v>
      </c>
      <c r="H11" s="223"/>
      <c r="I11" s="135"/>
      <c r="J11" s="141"/>
    </row>
    <row r="12" spans="1:10" ht="13.5" customHeight="1">
      <c r="A12" s="160" t="s">
        <v>45</v>
      </c>
      <c r="B12" s="159"/>
      <c r="C12" s="155" t="s">
        <v>46</v>
      </c>
      <c r="D12" s="156"/>
      <c r="E12" s="160" t="s">
        <v>46</v>
      </c>
      <c r="F12" s="159"/>
      <c r="G12" s="160">
        <f>MAX(C12:E12)</f>
        <v>0</v>
      </c>
      <c r="H12" s="159"/>
      <c r="I12" s="135"/>
      <c r="J12" s="141"/>
    </row>
    <row r="13" spans="1:10" ht="14.25" customHeight="1">
      <c r="A13" s="143"/>
      <c r="B13" s="143"/>
      <c r="C13" s="143"/>
      <c r="D13" s="143"/>
      <c r="E13" s="143"/>
      <c r="F13" s="143"/>
      <c r="G13" s="143"/>
      <c r="H13" s="143"/>
      <c r="I13" s="131" t="e">
        <f>AVERAGE(C13:E13)</f>
        <v>#DIV/0!</v>
      </c>
      <c r="J13" s="131"/>
    </row>
    <row r="14" spans="1:10" ht="23.25" customHeight="1">
      <c r="A14" s="160" t="s">
        <v>47</v>
      </c>
      <c r="B14" s="159"/>
      <c r="C14" s="204"/>
      <c r="D14" s="205"/>
      <c r="E14" s="204"/>
      <c r="F14" s="205"/>
      <c r="G14" s="204">
        <f>MAX(C14:E14)</f>
        <v>0</v>
      </c>
      <c r="H14" s="205"/>
      <c r="I14" s="152" t="e">
        <f>AVERAGE(C14:E14)</f>
        <v>#DIV/0!</v>
      </c>
      <c r="J14" s="206"/>
    </row>
    <row r="15" spans="1:10" ht="14.25" customHeight="1">
      <c r="A15" s="143"/>
      <c r="B15" s="143"/>
      <c r="C15" s="143"/>
      <c r="D15" s="143"/>
      <c r="E15" s="143"/>
      <c r="F15" s="143"/>
      <c r="G15" s="143"/>
      <c r="H15" s="143"/>
      <c r="I15" s="131" t="e">
        <f>AVERAGE(C15:E15)</f>
        <v>#DIV/0!</v>
      </c>
      <c r="J15" s="131"/>
    </row>
    <row r="16" spans="1:10" ht="14.25" customHeight="1">
      <c r="A16" s="160" t="s">
        <v>48</v>
      </c>
      <c r="B16" s="159"/>
      <c r="C16" s="157"/>
      <c r="D16" s="158"/>
      <c r="E16" s="157"/>
      <c r="F16" s="158"/>
      <c r="G16" s="157">
        <f>MAX(C16:E16)</f>
        <v>0</v>
      </c>
      <c r="H16" s="158"/>
      <c r="I16" s="207" t="e">
        <f>AVERAGE(C16:E16)</f>
        <v>#DIV/0!</v>
      </c>
      <c r="J16" s="131"/>
    </row>
    <row r="17" spans="1:10" ht="147.75" customHeight="1">
      <c r="A17" s="208" t="s">
        <v>49</v>
      </c>
      <c r="B17" s="208"/>
      <c r="C17" s="208"/>
      <c r="D17" s="208"/>
      <c r="E17" s="208"/>
      <c r="F17" s="208"/>
      <c r="G17" s="208"/>
      <c r="H17" s="208"/>
      <c r="I17" s="208"/>
      <c r="J17" s="209"/>
    </row>
    <row r="18" spans="1:10" ht="13.5" customHeight="1">
      <c r="A18" s="15" t="s">
        <v>50</v>
      </c>
      <c r="B18" s="60" t="s">
        <v>51</v>
      </c>
      <c r="C18" s="61"/>
      <c r="D18" s="14" t="s">
        <v>52</v>
      </c>
      <c r="E18" s="16" t="s">
        <v>53</v>
      </c>
      <c r="F18" s="53" t="s">
        <v>54</v>
      </c>
      <c r="G18" s="54"/>
      <c r="H18" s="13" t="s">
        <v>55</v>
      </c>
      <c r="I18" s="12"/>
      <c r="J18" s="40"/>
    </row>
    <row r="19" spans="1:10" s="129" customFormat="1" ht="13.5" customHeight="1">
      <c r="A19" s="22">
        <v>1</v>
      </c>
      <c r="B19" s="160" t="s">
        <v>56</v>
      </c>
      <c r="C19" s="174"/>
      <c r="D19" s="170">
        <f>SUM(D12:D17)</f>
        <v>0</v>
      </c>
      <c r="E19" s="232">
        <f>SUM(E12:E17)</f>
        <v>0</v>
      </c>
      <c r="F19" s="233">
        <f>SUM(F12:F17)</f>
        <v>0</v>
      </c>
      <c r="G19" s="234"/>
      <c r="H19" s="235">
        <f>SUM(H12:H17)</f>
        <v>0</v>
      </c>
      <c r="I19" s="236" t="e">
        <f>SUM(I12:I17)</f>
        <v>#DIV/0!</v>
      </c>
      <c r="J19" s="40"/>
    </row>
    <row r="20" spans="1:10" ht="13.5" customHeight="1">
      <c r="A20" s="123"/>
      <c r="B20" s="117"/>
      <c r="C20" s="119"/>
      <c r="D20" s="124"/>
      <c r="E20" s="125"/>
      <c r="F20" s="126"/>
      <c r="G20" s="127"/>
      <c r="H20" s="31"/>
      <c r="I20" s="26"/>
      <c r="J20" s="40"/>
    </row>
    <row r="21" spans="1:10" s="163" customFormat="1" ht="30" customHeight="1">
      <c r="A21" s="241" t="s">
        <v>182</v>
      </c>
      <c r="B21" s="242"/>
      <c r="C21" s="245">
        <f>SUM(C9+C19)</f>
        <v>3260</v>
      </c>
      <c r="D21" s="245">
        <f>SUM(D9+D19)</f>
        <v>0</v>
      </c>
      <c r="E21" s="245">
        <f>SUM(E9+E19)</f>
        <v>0</v>
      </c>
      <c r="F21" s="245">
        <f>SUM(F9+F19)</f>
        <v>0</v>
      </c>
      <c r="G21" s="245">
        <f>SUM(G9+G19)</f>
        <v>0</v>
      </c>
      <c r="H21" s="245">
        <f>SUM(H9+H19)</f>
        <v>0</v>
      </c>
      <c r="I21" s="245" t="e">
        <f>SUM(I9+I19)</f>
        <v>#DIV/0!</v>
      </c>
      <c r="J21" s="115"/>
    </row>
    <row r="22" spans="1:10" ht="13.5" customHeight="1">
      <c r="A22" s="108"/>
      <c r="B22" s="102"/>
      <c r="C22" s="104"/>
      <c r="D22" s="109"/>
      <c r="E22" s="110"/>
      <c r="F22" s="111"/>
      <c r="G22" s="112"/>
      <c r="H22" s="113"/>
      <c r="I22" s="114"/>
      <c r="J22" s="40"/>
    </row>
    <row r="23" spans="1:10" ht="13.5" customHeight="1">
      <c r="A23" s="17"/>
      <c r="B23" s="11"/>
      <c r="C23" s="12"/>
      <c r="D23" s="14"/>
      <c r="E23" s="18"/>
      <c r="F23" s="19"/>
      <c r="G23" s="20"/>
      <c r="H23" s="9"/>
      <c r="I23" s="10"/>
      <c r="J23" s="40"/>
    </row>
    <row r="24" spans="1:10" ht="13.5" customHeight="1">
      <c r="A24" s="17"/>
      <c r="B24" s="11"/>
      <c r="C24" s="12"/>
      <c r="D24" s="14"/>
      <c r="E24" s="18"/>
      <c r="F24" s="19"/>
      <c r="G24" s="20"/>
      <c r="H24" s="9"/>
      <c r="I24" s="10"/>
      <c r="J24" s="40"/>
    </row>
    <row r="25" spans="1:10" ht="13.5" customHeight="1">
      <c r="A25" s="17"/>
      <c r="B25" s="11"/>
      <c r="C25" s="12"/>
      <c r="D25" s="14"/>
      <c r="E25" s="18"/>
      <c r="F25" s="19"/>
      <c r="G25" s="20"/>
      <c r="H25" s="9"/>
      <c r="I25" s="10"/>
      <c r="J25" s="40"/>
    </row>
    <row r="26" spans="1:10" ht="13.5" customHeight="1">
      <c r="A26" s="17"/>
      <c r="B26" s="11"/>
      <c r="C26" s="12"/>
      <c r="D26" s="14"/>
      <c r="E26" s="18"/>
      <c r="F26" s="19"/>
      <c r="G26" s="20"/>
      <c r="H26" s="9"/>
      <c r="I26" s="10"/>
      <c r="J26" s="40"/>
    </row>
    <row r="27" spans="1:10" ht="13.5" customHeight="1">
      <c r="A27" s="17"/>
      <c r="B27" s="11"/>
      <c r="C27" s="12"/>
      <c r="D27" s="14"/>
      <c r="E27" s="18"/>
      <c r="F27" s="19"/>
      <c r="G27" s="20"/>
      <c r="H27" s="9"/>
      <c r="I27" s="10"/>
      <c r="J27" s="40"/>
    </row>
    <row r="28" spans="1:10" ht="13.5" customHeight="1">
      <c r="A28" s="17"/>
      <c r="B28" s="11"/>
      <c r="C28" s="12"/>
      <c r="D28" s="14"/>
      <c r="E28" s="18"/>
      <c r="F28" s="19"/>
      <c r="G28" s="20"/>
      <c r="H28" s="9"/>
      <c r="I28" s="10"/>
      <c r="J28" s="40"/>
    </row>
    <row r="29" spans="1:10" ht="13.5" customHeight="1">
      <c r="A29" s="17"/>
      <c r="B29" s="11"/>
      <c r="C29" s="12"/>
      <c r="D29" s="14"/>
      <c r="E29" s="18"/>
      <c r="F29" s="19"/>
      <c r="G29" s="20"/>
      <c r="H29" s="9"/>
      <c r="I29" s="10"/>
      <c r="J29" s="40"/>
    </row>
    <row r="30" spans="1:10" ht="13.5" customHeight="1">
      <c r="A30" s="17"/>
      <c r="B30" s="11"/>
      <c r="C30" s="12"/>
      <c r="D30" s="14"/>
      <c r="E30" s="18"/>
      <c r="F30" s="19"/>
      <c r="G30" s="20"/>
      <c r="H30" s="9"/>
      <c r="I30" s="10"/>
      <c r="J30" s="40"/>
    </row>
    <row r="31" spans="1:10" ht="13.5" customHeight="1">
      <c r="A31" s="17"/>
      <c r="B31" s="11"/>
      <c r="C31" s="12"/>
      <c r="D31" s="14"/>
      <c r="E31" s="18"/>
      <c r="F31" s="19"/>
      <c r="G31" s="20"/>
      <c r="H31" s="9"/>
      <c r="I31" s="10"/>
      <c r="J31" s="40"/>
    </row>
    <row r="32" spans="1:10" ht="13.5" customHeight="1">
      <c r="A32" s="17"/>
      <c r="B32" s="11"/>
      <c r="C32" s="12"/>
      <c r="D32" s="14"/>
      <c r="E32" s="18"/>
      <c r="F32" s="19"/>
      <c r="G32" s="20"/>
      <c r="H32" s="9"/>
      <c r="I32" s="10"/>
      <c r="J32" s="40"/>
    </row>
    <row r="33" spans="1:10" ht="13.5" customHeight="1">
      <c r="A33" s="17"/>
      <c r="B33" s="11"/>
      <c r="C33" s="12"/>
      <c r="D33" s="14"/>
      <c r="E33" s="18"/>
      <c r="F33" s="19"/>
      <c r="G33" s="20"/>
      <c r="H33" s="9"/>
      <c r="I33" s="10"/>
      <c r="J33" s="40"/>
    </row>
    <row r="34" spans="1:10" ht="13.5" customHeight="1">
      <c r="A34" s="17"/>
      <c r="B34" s="11"/>
      <c r="C34" s="12"/>
      <c r="D34" s="14"/>
      <c r="E34" s="18"/>
      <c r="F34" s="19"/>
      <c r="G34" s="20"/>
      <c r="H34" s="9"/>
      <c r="I34" s="10"/>
      <c r="J34" s="40"/>
    </row>
    <row r="35" spans="1:10" ht="13.5" customHeight="1">
      <c r="A35" s="17"/>
      <c r="B35" s="11"/>
      <c r="C35" s="12"/>
      <c r="D35" s="14"/>
      <c r="E35" s="18"/>
      <c r="F35" s="19"/>
      <c r="G35" s="20"/>
      <c r="H35" s="9"/>
      <c r="I35" s="10"/>
      <c r="J35" s="40"/>
    </row>
    <row r="36" spans="1:10" ht="13.5" customHeight="1">
      <c r="A36" s="17"/>
      <c r="B36" s="11"/>
      <c r="C36" s="12"/>
      <c r="D36" s="14"/>
      <c r="E36" s="18"/>
      <c r="F36" s="19"/>
      <c r="G36" s="20"/>
      <c r="H36" s="9"/>
      <c r="I36" s="10"/>
      <c r="J36" s="40"/>
    </row>
    <row r="37" spans="1:10" ht="13.5" customHeight="1">
      <c r="A37" s="17"/>
      <c r="B37" s="11"/>
      <c r="C37" s="12"/>
      <c r="D37" s="14"/>
      <c r="E37" s="18"/>
      <c r="F37" s="19"/>
      <c r="G37" s="20"/>
      <c r="H37" s="9"/>
      <c r="I37" s="10"/>
      <c r="J37" s="40"/>
    </row>
    <row r="38" spans="1:10" ht="13.5" customHeight="1">
      <c r="A38" s="17"/>
      <c r="B38" s="11"/>
      <c r="C38" s="12"/>
      <c r="D38" s="14"/>
      <c r="E38" s="18"/>
      <c r="F38" s="19"/>
      <c r="G38" s="20"/>
      <c r="H38" s="9"/>
      <c r="I38" s="10"/>
      <c r="J38" s="40"/>
    </row>
    <row r="39" spans="1:10" ht="13.5" customHeight="1">
      <c r="A39" s="17"/>
      <c r="B39" s="11"/>
      <c r="C39" s="12"/>
      <c r="D39" s="14"/>
      <c r="E39" s="18"/>
      <c r="F39" s="19"/>
      <c r="G39" s="20"/>
      <c r="H39" s="9"/>
      <c r="I39" s="10"/>
      <c r="J39" s="40"/>
    </row>
    <row r="40" spans="1:10" ht="13.5" customHeight="1">
      <c r="A40" s="17"/>
      <c r="B40" s="11"/>
      <c r="C40" s="12"/>
      <c r="D40" s="14"/>
      <c r="E40" s="18"/>
      <c r="F40" s="19"/>
      <c r="G40" s="20"/>
      <c r="H40" s="9"/>
      <c r="I40" s="10"/>
      <c r="J40" s="40"/>
    </row>
    <row r="41" spans="1:10" ht="13.5" customHeight="1">
      <c r="A41" s="17"/>
      <c r="B41" s="11"/>
      <c r="C41" s="12"/>
      <c r="D41" s="14"/>
      <c r="E41" s="18"/>
      <c r="F41" s="19"/>
      <c r="G41" s="20"/>
      <c r="H41" s="9"/>
      <c r="I41" s="10"/>
      <c r="J41" s="40"/>
    </row>
    <row r="42" spans="1:10" ht="13.5" customHeight="1">
      <c r="A42" s="17">
        <v>8</v>
      </c>
      <c r="B42" s="53" t="s">
        <v>59</v>
      </c>
      <c r="C42" s="54"/>
      <c r="D42" s="14" t="s">
        <v>60</v>
      </c>
      <c r="E42" s="18">
        <v>5.9900000000000002E-2</v>
      </c>
      <c r="F42" s="62">
        <v>0.04</v>
      </c>
      <c r="G42" s="63"/>
      <c r="H42" s="9"/>
      <c r="I42" s="10"/>
      <c r="J42" s="40"/>
    </row>
    <row r="43" spans="1:10" ht="167.1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</row>
    <row r="44" spans="1:10">
      <c r="J44" t="s">
        <v>180</v>
      </c>
    </row>
  </sheetData>
  <mergeCells count="72">
    <mergeCell ref="A43:J43"/>
    <mergeCell ref="A21:B21"/>
    <mergeCell ref="B42:C42"/>
    <mergeCell ref="F42:G42"/>
    <mergeCell ref="B18:C18"/>
    <mergeCell ref="F18:G18"/>
    <mergeCell ref="J18:J42"/>
    <mergeCell ref="B19:C19"/>
    <mergeCell ref="F19:G19"/>
    <mergeCell ref="A15:H15"/>
    <mergeCell ref="I15:J15"/>
    <mergeCell ref="A16:B16"/>
    <mergeCell ref="C16:D16"/>
    <mergeCell ref="E16:F16"/>
    <mergeCell ref="G16:H16"/>
    <mergeCell ref="I16:J16"/>
    <mergeCell ref="A17:I17"/>
    <mergeCell ref="A12:B12"/>
    <mergeCell ref="C12:D12"/>
    <mergeCell ref="E12:F12"/>
    <mergeCell ref="G12:H12"/>
    <mergeCell ref="A13:H13"/>
    <mergeCell ref="I13:J13"/>
    <mergeCell ref="A14:B14"/>
    <mergeCell ref="C14:D14"/>
    <mergeCell ref="E14:F14"/>
    <mergeCell ref="G14:H14"/>
    <mergeCell ref="I14:J14"/>
    <mergeCell ref="A10:B10"/>
    <mergeCell ref="C10:D10"/>
    <mergeCell ref="E10:F10"/>
    <mergeCell ref="G10:H10"/>
    <mergeCell ref="A11:B11"/>
    <mergeCell ref="C11:D11"/>
    <mergeCell ref="E11:F11"/>
    <mergeCell ref="G11:H11"/>
    <mergeCell ref="A8:B8"/>
    <mergeCell ref="C8:D8"/>
    <mergeCell ref="E8:F8"/>
    <mergeCell ref="G8:H8"/>
    <mergeCell ref="A9:B9"/>
    <mergeCell ref="C9:D9"/>
    <mergeCell ref="E9:F9"/>
    <mergeCell ref="G9:H9"/>
    <mergeCell ref="A3:H3"/>
    <mergeCell ref="I3:J3"/>
    <mergeCell ref="A4:B4"/>
    <mergeCell ref="C4:D4"/>
    <mergeCell ref="E4:F4"/>
    <mergeCell ref="G4:H4"/>
    <mergeCell ref="I4:J12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1:B1"/>
    <mergeCell ref="C1:D1"/>
    <mergeCell ref="E1:F1"/>
    <mergeCell ref="G1:H1"/>
    <mergeCell ref="I1:J2"/>
    <mergeCell ref="A2:B2"/>
    <mergeCell ref="C2:D2"/>
    <mergeCell ref="E2:F2"/>
    <mergeCell ref="G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tabSelected="1" workbookViewId="0">
      <selection activeCell="F15" sqref="F15"/>
    </sheetView>
  </sheetViews>
  <sheetFormatPr defaultRowHeight="12.75"/>
  <cols>
    <col min="1" max="1" width="5.1640625" customWidth="1"/>
    <col min="2" max="2" width="12.83203125" customWidth="1"/>
    <col min="3" max="3" width="5.83203125" customWidth="1"/>
    <col min="4" max="4" width="10.83203125" customWidth="1"/>
    <col min="5" max="5" width="2.83203125" customWidth="1"/>
    <col min="6" max="6" width="12.6640625" customWidth="1"/>
    <col min="7" max="7" width="0.83203125" customWidth="1"/>
    <col min="8" max="8" width="11.83203125" customWidth="1"/>
    <col min="9" max="9" width="4.83203125" customWidth="1"/>
    <col min="10" max="10" width="7.1640625" customWidth="1"/>
  </cols>
  <sheetData>
    <row r="1" spans="1:10" ht="13.5" customHeight="1">
      <c r="A1" s="21"/>
      <c r="B1" s="53" t="s">
        <v>61</v>
      </c>
      <c r="C1" s="54"/>
      <c r="D1" s="53" t="s">
        <v>62</v>
      </c>
      <c r="E1" s="54"/>
      <c r="F1" s="45"/>
      <c r="G1" s="43"/>
      <c r="H1" s="43"/>
      <c r="I1" s="43"/>
      <c r="J1" s="44"/>
    </row>
    <row r="2" spans="1:10" ht="13.5" customHeight="1">
      <c r="A2" s="65"/>
      <c r="B2" s="66" t="s">
        <v>63</v>
      </c>
      <c r="C2" s="67"/>
      <c r="D2" s="67"/>
      <c r="E2" s="67"/>
      <c r="F2" s="154"/>
      <c r="G2" s="154"/>
      <c r="H2" s="154"/>
      <c r="I2" s="141" t="e">
        <f>AVERAGE(C2:E2)</f>
        <v>#DIV/0!</v>
      </c>
      <c r="J2" s="41"/>
    </row>
    <row r="3" spans="1:10" ht="13.5" customHeight="1">
      <c r="A3" s="65"/>
      <c r="B3" s="66" t="s">
        <v>64</v>
      </c>
      <c r="C3" s="68"/>
      <c r="D3" s="66" t="s">
        <v>65</v>
      </c>
      <c r="E3" s="68"/>
      <c r="F3" s="14" t="s">
        <v>66</v>
      </c>
      <c r="G3" s="155" t="s">
        <v>67</v>
      </c>
      <c r="H3" s="156"/>
      <c r="I3" s="141"/>
      <c r="J3" s="41"/>
    </row>
    <row r="4" spans="1:10" ht="13.5" customHeight="1">
      <c r="A4" s="65"/>
      <c r="B4" s="53" t="s">
        <v>68</v>
      </c>
      <c r="C4" s="54"/>
      <c r="D4" s="69">
        <v>500</v>
      </c>
      <c r="E4" s="70"/>
      <c r="F4" s="14" t="s">
        <v>69</v>
      </c>
      <c r="G4" s="157"/>
      <c r="H4" s="158"/>
      <c r="I4" s="141"/>
      <c r="J4" s="41"/>
    </row>
    <row r="5" spans="1:10" ht="13.5" customHeight="1">
      <c r="A5" s="65"/>
      <c r="B5" s="53" t="s">
        <v>70</v>
      </c>
      <c r="C5" s="54"/>
      <c r="D5" s="69">
        <v>750</v>
      </c>
      <c r="E5" s="70"/>
      <c r="F5" s="14" t="s">
        <v>69</v>
      </c>
      <c r="G5" s="157"/>
      <c r="H5" s="158"/>
      <c r="I5" s="141"/>
      <c r="J5" s="41"/>
    </row>
    <row r="6" spans="1:10" ht="13.5" customHeight="1">
      <c r="A6" s="65"/>
      <c r="B6" s="53" t="s">
        <v>71</v>
      </c>
      <c r="C6" s="54"/>
      <c r="D6" s="69">
        <v>250</v>
      </c>
      <c r="E6" s="70"/>
      <c r="F6" s="14" t="s">
        <v>72</v>
      </c>
      <c r="G6" s="157"/>
      <c r="H6" s="158"/>
      <c r="I6" s="141"/>
      <c r="J6" s="41"/>
    </row>
    <row r="7" spans="1:10" ht="13.5" customHeight="1">
      <c r="A7" s="65"/>
      <c r="B7" s="53" t="s">
        <v>73</v>
      </c>
      <c r="C7" s="54"/>
      <c r="D7" s="69">
        <v>310</v>
      </c>
      <c r="E7" s="70"/>
      <c r="F7" s="14" t="s">
        <v>74</v>
      </c>
      <c r="G7" s="157"/>
      <c r="H7" s="158"/>
      <c r="I7" s="141"/>
      <c r="J7" s="41"/>
    </row>
    <row r="8" spans="1:10" ht="13.5" customHeight="1">
      <c r="A8" s="65"/>
      <c r="B8" s="53" t="s">
        <v>75</v>
      </c>
      <c r="C8" s="54"/>
      <c r="D8" s="69">
        <v>500</v>
      </c>
      <c r="E8" s="70"/>
      <c r="F8" s="14" t="s">
        <v>76</v>
      </c>
      <c r="G8" s="51"/>
      <c r="H8" s="52"/>
      <c r="I8" s="58"/>
      <c r="J8" s="41"/>
    </row>
    <row r="9" spans="1:10" ht="13.5" customHeight="1">
      <c r="A9" s="65"/>
      <c r="B9" s="160" t="s">
        <v>77</v>
      </c>
      <c r="C9" s="174"/>
      <c r="D9" s="175">
        <f>SUM(D2:D7)</f>
        <v>1810</v>
      </c>
      <c r="E9" s="176"/>
      <c r="F9" s="170">
        <f>SUM(F2:F7)</f>
        <v>0</v>
      </c>
      <c r="G9" s="171">
        <f>SUM(G2:G7)</f>
        <v>0</v>
      </c>
      <c r="H9" s="172"/>
      <c r="I9" s="173"/>
      <c r="J9" s="41"/>
    </row>
    <row r="10" spans="1:10" ht="13.5" customHeight="1">
      <c r="A10" s="190"/>
      <c r="B10" s="160" t="s">
        <v>78</v>
      </c>
      <c r="C10" s="159"/>
      <c r="D10" s="69">
        <v>190</v>
      </c>
      <c r="E10" s="70"/>
      <c r="F10" s="14" t="s">
        <v>79</v>
      </c>
      <c r="G10" s="157"/>
      <c r="H10" s="158"/>
      <c r="I10" s="141"/>
      <c r="J10" s="142"/>
    </row>
    <row r="11" spans="1:10" s="210" customFormat="1" ht="121.5" customHeight="1">
      <c r="A11" s="218"/>
      <c r="B11" s="219" t="s">
        <v>80</v>
      </c>
      <c r="C11" s="219"/>
      <c r="D11" s="219"/>
      <c r="E11" s="219"/>
      <c r="F11" s="219"/>
      <c r="G11" s="219"/>
      <c r="H11" s="219"/>
      <c r="I11" s="220"/>
      <c r="J11" s="221"/>
    </row>
    <row r="12" spans="1:10" ht="13.5" customHeight="1">
      <c r="A12" s="155" t="s">
        <v>81</v>
      </c>
      <c r="B12" s="156"/>
      <c r="C12" s="199" t="s">
        <v>82</v>
      </c>
      <c r="D12" s="200"/>
      <c r="E12" s="199" t="s">
        <v>83</v>
      </c>
      <c r="F12" s="154"/>
      <c r="G12" s="200"/>
      <c r="H12" s="201">
        <f>MIN(C12:E12)</f>
        <v>0</v>
      </c>
      <c r="I12" s="152" t="e">
        <f>AVERAGE(C12:E12)</f>
        <v>#DIV/0!</v>
      </c>
      <c r="J12" s="202"/>
    </row>
    <row r="13" spans="1:10" ht="13.5" customHeight="1">
      <c r="A13" s="157"/>
      <c r="B13" s="158"/>
      <c r="C13" s="182">
        <v>140000</v>
      </c>
      <c r="D13" s="183"/>
      <c r="E13" s="182">
        <v>185000</v>
      </c>
      <c r="F13" s="184"/>
      <c r="G13" s="183"/>
      <c r="H13" s="185">
        <f>MIN(C13:E13)</f>
        <v>140000</v>
      </c>
      <c r="I13" s="152"/>
      <c r="J13" s="202"/>
    </row>
    <row r="14" spans="1:10" ht="12.75" customHeight="1">
      <c r="A14" s="143"/>
      <c r="B14" s="143"/>
      <c r="C14" s="143"/>
      <c r="D14" s="143"/>
      <c r="E14" s="143"/>
      <c r="F14" s="143"/>
      <c r="G14" s="143"/>
      <c r="H14" s="143"/>
      <c r="I14" s="131" t="e">
        <f>AVERAGE(C14:E14)</f>
        <v>#DIV/0!</v>
      </c>
      <c r="J14" s="203"/>
    </row>
    <row r="15" spans="1:10" ht="13.5" customHeight="1">
      <c r="A15" s="160" t="s">
        <v>84</v>
      </c>
      <c r="B15" s="159"/>
      <c r="C15" s="199" t="s">
        <v>82</v>
      </c>
      <c r="D15" s="200"/>
      <c r="E15" s="199" t="s">
        <v>83</v>
      </c>
      <c r="F15" s="154"/>
      <c r="G15" s="200"/>
      <c r="H15" s="201">
        <f>MIN(C15:E15)</f>
        <v>0</v>
      </c>
      <c r="I15" s="135" t="e">
        <f>AVERAGE(C15:E15)</f>
        <v>#DIV/0!</v>
      </c>
      <c r="J15" s="142"/>
    </row>
    <row r="16" spans="1:10" ht="13.5" customHeight="1">
      <c r="A16" s="160" t="s">
        <v>85</v>
      </c>
      <c r="B16" s="159"/>
      <c r="C16" s="182">
        <v>20000</v>
      </c>
      <c r="D16" s="183"/>
      <c r="E16" s="182">
        <v>26000</v>
      </c>
      <c r="F16" s="184"/>
      <c r="G16" s="183"/>
      <c r="H16" s="185">
        <f>MIN(C16:E16)</f>
        <v>20000</v>
      </c>
      <c r="I16" s="135"/>
      <c r="J16" s="142"/>
    </row>
    <row r="17" spans="1:10" ht="13.5" customHeight="1">
      <c r="A17" s="160" t="s">
        <v>86</v>
      </c>
      <c r="B17" s="159"/>
      <c r="C17" s="182">
        <v>20000</v>
      </c>
      <c r="D17" s="183"/>
      <c r="E17" s="182">
        <v>15600</v>
      </c>
      <c r="F17" s="184"/>
      <c r="G17" s="183"/>
      <c r="H17" s="185">
        <f>MIN(C17:E17)</f>
        <v>15600</v>
      </c>
      <c r="I17" s="135"/>
      <c r="J17" s="142"/>
    </row>
    <row r="18" spans="1:10" ht="13.5" customHeight="1">
      <c r="A18" s="53" t="s">
        <v>87</v>
      </c>
      <c r="B18" s="54"/>
      <c r="C18" s="71">
        <v>12000</v>
      </c>
      <c r="D18" s="72"/>
      <c r="E18" s="71">
        <v>20930</v>
      </c>
      <c r="F18" s="73"/>
      <c r="G18" s="72"/>
      <c r="H18" s="23">
        <v>27209</v>
      </c>
      <c r="I18" s="40"/>
      <c r="J18" s="41"/>
    </row>
    <row r="19" spans="1:10" s="129" customFormat="1" ht="13.5" customHeight="1">
      <c r="A19" s="160" t="s">
        <v>88</v>
      </c>
      <c r="B19" s="159"/>
      <c r="C19" s="227">
        <f>SUM(C12:C17)</f>
        <v>180000</v>
      </c>
      <c r="D19" s="228"/>
      <c r="E19" s="227">
        <f>SUM(E12:E17)</f>
        <v>226600</v>
      </c>
      <c r="F19" s="229"/>
      <c r="G19" s="228"/>
      <c r="H19" s="230">
        <f>SUM(H12:H17)</f>
        <v>175600</v>
      </c>
      <c r="I19" s="231"/>
      <c r="J19" s="41"/>
    </row>
    <row r="20" spans="1:10" ht="13.5" customHeight="1">
      <c r="A20" s="117"/>
      <c r="B20" s="119"/>
      <c r="C20" s="120"/>
      <c r="D20" s="121"/>
      <c r="E20" s="120"/>
      <c r="F20" s="122"/>
      <c r="G20" s="121"/>
      <c r="H20" s="120"/>
      <c r="I20" s="100"/>
      <c r="J20" s="1"/>
    </row>
    <row r="21" spans="1:10" s="163" customFormat="1" ht="30" customHeight="1">
      <c r="A21" s="241" t="s">
        <v>182</v>
      </c>
      <c r="B21" s="242"/>
      <c r="C21" s="246">
        <f>SUM(C9+C19)</f>
        <v>180000</v>
      </c>
      <c r="D21" s="246">
        <f>SUM(D9+D19)</f>
        <v>1810</v>
      </c>
      <c r="E21" s="246">
        <f>SUM(E9+E19)</f>
        <v>226600</v>
      </c>
      <c r="F21" s="246">
        <f>SUM(F9+F19)</f>
        <v>0</v>
      </c>
      <c r="G21" s="246">
        <f>SUM(G9+G19)</f>
        <v>0</v>
      </c>
      <c r="H21" s="246">
        <f>SUM(H9+H19)</f>
        <v>175600</v>
      </c>
      <c r="I21" s="246">
        <f>SUM(I9+I19)</f>
        <v>0</v>
      </c>
      <c r="J21" s="237"/>
    </row>
    <row r="22" spans="1:10" ht="13.5" customHeight="1">
      <c r="A22" s="102"/>
      <c r="B22" s="104"/>
      <c r="C22" s="105"/>
      <c r="D22" s="106"/>
      <c r="E22" s="105"/>
      <c r="F22" s="107"/>
      <c r="G22" s="106"/>
      <c r="H22" s="105"/>
      <c r="I22" s="100"/>
      <c r="J22" s="1"/>
    </row>
    <row r="23" spans="1:10" ht="13.5" customHeight="1">
      <c r="A23" s="11"/>
      <c r="B23" s="12"/>
      <c r="C23" s="23"/>
      <c r="D23" s="24"/>
      <c r="E23" s="23"/>
      <c r="F23" s="25"/>
      <c r="G23" s="24"/>
      <c r="H23" s="23"/>
      <c r="I23" s="100"/>
      <c r="J23" s="1"/>
    </row>
    <row r="24" spans="1:10" ht="13.5" customHeight="1">
      <c r="A24" s="11"/>
      <c r="B24" s="12"/>
      <c r="C24" s="23"/>
      <c r="D24" s="24"/>
      <c r="E24" s="23"/>
      <c r="F24" s="25"/>
      <c r="G24" s="24"/>
      <c r="H24" s="23"/>
      <c r="I24" s="100"/>
      <c r="J24" s="1"/>
    </row>
    <row r="25" spans="1:10" ht="13.5" customHeight="1">
      <c r="A25" s="11"/>
      <c r="B25" s="12"/>
      <c r="C25" s="23"/>
      <c r="D25" s="24"/>
      <c r="E25" s="23"/>
      <c r="F25" s="25"/>
      <c r="G25" s="24"/>
      <c r="H25" s="23"/>
      <c r="I25" s="100"/>
      <c r="J25" s="1"/>
    </row>
    <row r="26" spans="1:10" ht="13.5" customHeight="1">
      <c r="A26" s="11"/>
      <c r="B26" s="12"/>
      <c r="C26" s="23"/>
      <c r="D26" s="24"/>
      <c r="E26" s="23"/>
      <c r="F26" s="25"/>
      <c r="G26" s="24"/>
      <c r="H26" s="23"/>
      <c r="I26" s="100"/>
      <c r="J26" s="1"/>
    </row>
    <row r="27" spans="1:10" ht="13.5" customHeight="1">
      <c r="A27" s="11"/>
      <c r="B27" s="12"/>
      <c r="C27" s="23"/>
      <c r="D27" s="24"/>
      <c r="E27" s="23"/>
      <c r="F27" s="25"/>
      <c r="G27" s="24"/>
      <c r="H27" s="23"/>
      <c r="I27" s="100"/>
      <c r="J27" s="1"/>
    </row>
    <row r="28" spans="1:10" ht="13.5" customHeight="1">
      <c r="A28" s="11"/>
      <c r="B28" s="12"/>
      <c r="C28" s="23"/>
      <c r="D28" s="24"/>
      <c r="E28" s="23"/>
      <c r="F28" s="25"/>
      <c r="G28" s="24"/>
      <c r="H28" s="23"/>
      <c r="I28" s="100"/>
      <c r="J28" s="1"/>
    </row>
    <row r="29" spans="1:10" ht="13.5" customHeight="1">
      <c r="A29" s="11"/>
      <c r="B29" s="12"/>
      <c r="C29" s="23"/>
      <c r="D29" s="24"/>
      <c r="E29" s="23"/>
      <c r="F29" s="25"/>
      <c r="G29" s="24"/>
      <c r="H29" s="23"/>
      <c r="I29" s="100"/>
      <c r="J29" s="1"/>
    </row>
    <row r="30" spans="1:10" ht="13.5" customHeight="1">
      <c r="A30" s="11"/>
      <c r="B30" s="12"/>
      <c r="C30" s="23"/>
      <c r="D30" s="24"/>
      <c r="E30" s="23"/>
      <c r="F30" s="25"/>
      <c r="G30" s="24"/>
      <c r="H30" s="23"/>
      <c r="I30" s="100"/>
      <c r="J30" s="1"/>
    </row>
    <row r="31" spans="1:10" ht="13.5" customHeight="1">
      <c r="A31" s="11"/>
      <c r="B31" s="12"/>
      <c r="C31" s="23"/>
      <c r="D31" s="24"/>
      <c r="E31" s="23"/>
      <c r="F31" s="25"/>
      <c r="G31" s="24"/>
      <c r="H31" s="23"/>
      <c r="I31" s="100"/>
      <c r="J31" s="1"/>
    </row>
    <row r="32" spans="1:10" ht="13.5" customHeight="1">
      <c r="A32" s="11"/>
      <c r="B32" s="12"/>
      <c r="C32" s="23"/>
      <c r="D32" s="24"/>
      <c r="E32" s="23"/>
      <c r="F32" s="25"/>
      <c r="G32" s="24"/>
      <c r="H32" s="23"/>
      <c r="I32" s="100"/>
      <c r="J32" s="1"/>
    </row>
    <row r="33" spans="1:10" ht="13.5" customHeight="1">
      <c r="A33" s="11"/>
      <c r="B33" s="12"/>
      <c r="C33" s="23"/>
      <c r="D33" s="24"/>
      <c r="E33" s="23"/>
      <c r="F33" s="25"/>
      <c r="G33" s="24"/>
      <c r="H33" s="23"/>
      <c r="I33" s="100"/>
      <c r="J33" s="1"/>
    </row>
    <row r="34" spans="1:10" ht="13.5" customHeight="1">
      <c r="A34" s="11"/>
      <c r="B34" s="12"/>
      <c r="C34" s="23"/>
      <c r="D34" s="24"/>
      <c r="E34" s="23"/>
      <c r="F34" s="25"/>
      <c r="G34" s="24"/>
      <c r="H34" s="23"/>
      <c r="I34" s="100"/>
      <c r="J34" s="1"/>
    </row>
    <row r="35" spans="1:10" ht="13.5" customHeight="1">
      <c r="A35" s="11"/>
      <c r="B35" s="12"/>
      <c r="C35" s="23"/>
      <c r="D35" s="24"/>
      <c r="E35" s="23"/>
      <c r="F35" s="25"/>
      <c r="G35" s="24"/>
      <c r="H35" s="23"/>
      <c r="I35" s="100"/>
      <c r="J35" s="1"/>
    </row>
    <row r="36" spans="1:10" ht="13.5" customHeight="1">
      <c r="A36" s="11"/>
      <c r="B36" s="12"/>
      <c r="C36" s="23"/>
      <c r="D36" s="24"/>
      <c r="E36" s="23"/>
      <c r="F36" s="25"/>
      <c r="G36" s="24"/>
      <c r="H36" s="23"/>
      <c r="I36" s="100"/>
      <c r="J36" s="1"/>
    </row>
    <row r="37" spans="1:10" ht="13.5" customHeight="1">
      <c r="A37" s="11"/>
      <c r="B37" s="12"/>
      <c r="C37" s="23"/>
      <c r="D37" s="24"/>
      <c r="E37" s="23"/>
      <c r="F37" s="25"/>
      <c r="G37" s="24"/>
      <c r="H37" s="23"/>
      <c r="I37" s="100"/>
      <c r="J37" s="1"/>
    </row>
    <row r="38" spans="1:10" ht="13.5" customHeight="1">
      <c r="A38" s="11"/>
      <c r="B38" s="12"/>
      <c r="C38" s="23"/>
      <c r="D38" s="24"/>
      <c r="E38" s="23"/>
      <c r="F38" s="25"/>
      <c r="G38" s="24"/>
      <c r="H38" s="23"/>
      <c r="I38" s="100"/>
      <c r="J38" s="1"/>
    </row>
    <row r="39" spans="1:10" ht="13.5" customHeight="1">
      <c r="A39" s="11"/>
      <c r="B39" s="12"/>
      <c r="C39" s="23"/>
      <c r="D39" s="24"/>
      <c r="E39" s="23"/>
      <c r="F39" s="25"/>
      <c r="G39" s="24"/>
      <c r="H39" s="23"/>
      <c r="I39" s="100"/>
      <c r="J39" s="1"/>
    </row>
    <row r="40" spans="1:10" ht="13.5" customHeight="1">
      <c r="A40" s="11"/>
      <c r="B40" s="12"/>
      <c r="C40" s="23"/>
      <c r="D40" s="24"/>
      <c r="E40" s="23"/>
      <c r="F40" s="25"/>
      <c r="G40" s="24"/>
      <c r="H40" s="23"/>
      <c r="I40" s="100"/>
      <c r="J40" s="1"/>
    </row>
    <row r="41" spans="1:10" ht="13.5" customHeight="1">
      <c r="A41" s="11"/>
      <c r="B41" s="12"/>
      <c r="C41" s="23"/>
      <c r="D41" s="24"/>
      <c r="E41" s="23"/>
      <c r="F41" s="25"/>
      <c r="G41" s="24"/>
      <c r="H41" s="23"/>
      <c r="I41" s="100"/>
      <c r="J41" s="1"/>
    </row>
    <row r="42" spans="1:10" ht="13.5" customHeight="1">
      <c r="A42" s="74"/>
      <c r="B42" s="74"/>
      <c r="C42" s="74"/>
      <c r="D42" s="75"/>
      <c r="E42" s="53" t="s">
        <v>89</v>
      </c>
      <c r="F42" s="76"/>
      <c r="G42" s="76"/>
      <c r="H42" s="76"/>
      <c r="I42" s="45"/>
      <c r="J42" s="44"/>
    </row>
    <row r="43" spans="1:10" ht="240.75" customHeight="1">
      <c r="A43" s="49"/>
      <c r="B43" s="49"/>
      <c r="C43" s="49"/>
      <c r="D43" s="49"/>
      <c r="E43" s="49"/>
      <c r="F43" s="49"/>
      <c r="G43" s="49"/>
      <c r="H43" s="49"/>
      <c r="I43" s="49"/>
      <c r="J43" s="50"/>
    </row>
    <row r="44" spans="1:10">
      <c r="J44" t="s">
        <v>180</v>
      </c>
    </row>
  </sheetData>
  <mergeCells count="62">
    <mergeCell ref="A42:D42"/>
    <mergeCell ref="E42:H42"/>
    <mergeCell ref="I42:J42"/>
    <mergeCell ref="A43:J43"/>
    <mergeCell ref="A21:B21"/>
    <mergeCell ref="A19:B19"/>
    <mergeCell ref="C19:D19"/>
    <mergeCell ref="E19:G19"/>
    <mergeCell ref="A14:H14"/>
    <mergeCell ref="I14:J14"/>
    <mergeCell ref="A15:B15"/>
    <mergeCell ref="C15:D15"/>
    <mergeCell ref="E15:G15"/>
    <mergeCell ref="I15:J19"/>
    <mergeCell ref="A16:B16"/>
    <mergeCell ref="C16:D16"/>
    <mergeCell ref="E16:G16"/>
    <mergeCell ref="A17:B17"/>
    <mergeCell ref="C17:D17"/>
    <mergeCell ref="E17:G17"/>
    <mergeCell ref="A18:B18"/>
    <mergeCell ref="C18:D18"/>
    <mergeCell ref="E18:G18"/>
    <mergeCell ref="I11:J11"/>
    <mergeCell ref="A12:B12"/>
    <mergeCell ref="C12:D12"/>
    <mergeCell ref="E12:G12"/>
    <mergeCell ref="I12:J13"/>
    <mergeCell ref="A13:B13"/>
    <mergeCell ref="C13:D13"/>
    <mergeCell ref="E13:G13"/>
    <mergeCell ref="B9:C9"/>
    <mergeCell ref="D9:E9"/>
    <mergeCell ref="G9:H9"/>
    <mergeCell ref="B10:C10"/>
    <mergeCell ref="D10:E10"/>
    <mergeCell ref="G10:H10"/>
    <mergeCell ref="B11:H11"/>
    <mergeCell ref="B7:C7"/>
    <mergeCell ref="D7:E7"/>
    <mergeCell ref="G7:H7"/>
    <mergeCell ref="B8:C8"/>
    <mergeCell ref="D8:E8"/>
    <mergeCell ref="G8:H8"/>
    <mergeCell ref="B1:C1"/>
    <mergeCell ref="D1:E1"/>
    <mergeCell ref="F1:J1"/>
    <mergeCell ref="A2:A10"/>
    <mergeCell ref="B2:H2"/>
    <mergeCell ref="I2:J10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G6:H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"/>
  <sheetViews>
    <sheetView tabSelected="1" workbookViewId="0">
      <selection activeCell="F15" sqref="F15"/>
    </sheetView>
  </sheetViews>
  <sheetFormatPr defaultRowHeight="12.75"/>
  <cols>
    <col min="1" max="1" width="16.1640625" customWidth="1"/>
    <col min="2" max="2" width="6.83203125" customWidth="1"/>
    <col min="3" max="3" width="16.1640625" customWidth="1"/>
    <col min="4" max="4" width="11.1640625" customWidth="1"/>
    <col min="5" max="5" width="5.33203125" customWidth="1"/>
    <col min="6" max="6" width="16.1640625" customWidth="1"/>
    <col min="7" max="7" width="5.1640625" customWidth="1"/>
    <col min="8" max="8" width="16" customWidth="1"/>
    <col min="9" max="9" width="11.5" customWidth="1"/>
  </cols>
  <sheetData>
    <row r="1" spans="1:10" ht="13.5" customHeight="1">
      <c r="A1" s="53" t="s">
        <v>181</v>
      </c>
      <c r="B1" s="54"/>
      <c r="C1" s="6" t="s">
        <v>91</v>
      </c>
      <c r="D1" s="53" t="s">
        <v>92</v>
      </c>
      <c r="E1" s="54"/>
      <c r="F1" s="6" t="s">
        <v>93</v>
      </c>
      <c r="G1" s="48"/>
      <c r="H1" s="55"/>
    </row>
    <row r="2" spans="1:10" ht="13.5" customHeight="1">
      <c r="A2" s="53" t="s">
        <v>94</v>
      </c>
      <c r="B2" s="54"/>
      <c r="C2" s="14" t="s">
        <v>95</v>
      </c>
      <c r="D2" s="56" t="s">
        <v>96</v>
      </c>
      <c r="E2" s="57"/>
      <c r="F2" s="149">
        <f>SUM(C2:E2)</f>
        <v>0</v>
      </c>
      <c r="G2" s="150"/>
      <c r="H2" s="151"/>
      <c r="I2" s="129" t="e">
        <f>AVERAGE(C2:E2)</f>
        <v>#DIV/0!</v>
      </c>
    </row>
    <row r="3" spans="1:10" ht="13.5" customHeight="1">
      <c r="A3" s="53" t="s">
        <v>97</v>
      </c>
      <c r="B3" s="54"/>
      <c r="C3" s="14" t="s">
        <v>98</v>
      </c>
      <c r="D3" s="51"/>
      <c r="E3" s="52"/>
      <c r="F3" s="139"/>
      <c r="G3" s="152"/>
      <c r="H3" s="14" t="s">
        <v>99</v>
      </c>
      <c r="I3" s="28">
        <v>0.4</v>
      </c>
    </row>
    <row r="4" spans="1:10" ht="13.5" customHeight="1">
      <c r="A4" s="53" t="s">
        <v>100</v>
      </c>
      <c r="B4" s="54"/>
      <c r="C4" s="14" t="s">
        <v>101</v>
      </c>
      <c r="D4" s="51"/>
      <c r="E4" s="52"/>
      <c r="F4" s="139"/>
      <c r="G4" s="152"/>
      <c r="H4" s="14" t="s">
        <v>102</v>
      </c>
      <c r="I4" s="28">
        <v>0.3</v>
      </c>
    </row>
    <row r="5" spans="1:10" ht="13.5" customHeight="1">
      <c r="A5" s="53" t="s">
        <v>103</v>
      </c>
      <c r="B5" s="54"/>
      <c r="C5" s="14" t="s">
        <v>104</v>
      </c>
      <c r="D5" s="51"/>
      <c r="E5" s="52"/>
      <c r="F5" s="139"/>
      <c r="G5" s="152"/>
      <c r="H5" s="153"/>
      <c r="I5" s="129"/>
    </row>
    <row r="6" spans="1:10" ht="13.5" customHeight="1">
      <c r="A6" s="53" t="s">
        <v>105</v>
      </c>
      <c r="B6" s="54"/>
      <c r="C6" s="14" t="s">
        <v>106</v>
      </c>
      <c r="D6" s="51"/>
      <c r="E6" s="52"/>
      <c r="F6" s="139"/>
      <c r="G6" s="135"/>
      <c r="H6" s="141"/>
      <c r="I6" s="129"/>
    </row>
    <row r="7" spans="1:10" ht="13.5" customHeight="1">
      <c r="A7" s="53" t="s">
        <v>107</v>
      </c>
      <c r="B7" s="54"/>
      <c r="C7" s="14">
        <v>3260</v>
      </c>
      <c r="D7" s="51"/>
      <c r="E7" s="52"/>
      <c r="F7" s="139"/>
      <c r="G7" s="135"/>
      <c r="H7" s="141"/>
      <c r="I7" s="129"/>
    </row>
    <row r="8" spans="1:10" ht="13.5" customHeight="1">
      <c r="A8" s="53" t="s">
        <v>108</v>
      </c>
      <c r="B8" s="54"/>
      <c r="C8" s="14" t="s">
        <v>109</v>
      </c>
      <c r="D8" s="51"/>
      <c r="E8" s="52"/>
      <c r="F8" s="8"/>
      <c r="G8" s="40"/>
      <c r="H8" s="58"/>
    </row>
    <row r="9" spans="1:10" ht="13.5" customHeight="1">
      <c r="A9" s="53" t="s">
        <v>110</v>
      </c>
      <c r="B9" s="159"/>
      <c r="C9" s="170">
        <f>SUM(C2:C7)</f>
        <v>3260</v>
      </c>
      <c r="D9" s="171">
        <f>SUM(D2:D7)</f>
        <v>0</v>
      </c>
      <c r="E9" s="172"/>
      <c r="F9" s="165">
        <f>SUM(F2:F7)</f>
        <v>0</v>
      </c>
      <c r="G9" s="166"/>
      <c r="H9" s="173"/>
      <c r="I9" s="163" t="e">
        <f>SUM(I2:I7)</f>
        <v>#DIV/0!</v>
      </c>
    </row>
    <row r="10" spans="1:10" ht="70.7" customHeight="1">
      <c r="A10" s="198"/>
      <c r="B10" s="198"/>
      <c r="C10" s="198"/>
      <c r="D10" s="198"/>
      <c r="E10" s="198"/>
      <c r="F10" s="198"/>
      <c r="G10" s="198"/>
      <c r="H10" s="198"/>
      <c r="I10" s="129"/>
      <c r="J10" s="129"/>
    </row>
    <row r="11" spans="1:10" s="210" customFormat="1" ht="13.5" customHeight="1">
      <c r="A11" s="4" t="s">
        <v>111</v>
      </c>
      <c r="B11" s="214" t="s">
        <v>112</v>
      </c>
      <c r="C11" s="215"/>
      <c r="D11" s="216"/>
      <c r="E11" s="214" t="s">
        <v>113</v>
      </c>
      <c r="F11" s="216"/>
      <c r="G11" s="214" t="s">
        <v>114</v>
      </c>
      <c r="H11" s="216"/>
      <c r="I11" s="217" t="s">
        <v>115</v>
      </c>
    </row>
    <row r="12" spans="1:10" ht="13.5" customHeight="1">
      <c r="A12" s="14" t="s">
        <v>116</v>
      </c>
      <c r="B12" s="160" t="s">
        <v>117</v>
      </c>
      <c r="C12" s="180"/>
      <c r="D12" s="159"/>
      <c r="E12" s="160" t="s">
        <v>118</v>
      </c>
      <c r="F12" s="159"/>
      <c r="G12" s="160">
        <f>MAX(C12:E12)</f>
        <v>0</v>
      </c>
      <c r="H12" s="159"/>
      <c r="I12" s="181" t="e">
        <f>AVERAGE(C12:E12)</f>
        <v>#DIV/0!</v>
      </c>
      <c r="J12" s="129"/>
    </row>
    <row r="13" spans="1:10" ht="13.5" customHeight="1">
      <c r="A13" s="14" t="s">
        <v>56</v>
      </c>
      <c r="B13" s="160" t="s">
        <v>120</v>
      </c>
      <c r="C13" s="180"/>
      <c r="D13" s="159"/>
      <c r="E13" s="160" t="s">
        <v>121</v>
      </c>
      <c r="F13" s="159"/>
      <c r="G13" s="160">
        <f>MAX(C13:E13)</f>
        <v>0</v>
      </c>
      <c r="H13" s="159"/>
      <c r="I13" s="181" t="e">
        <f>AVERAGE(C13:E13)</f>
        <v>#DIV/0!</v>
      </c>
      <c r="J13" s="129"/>
    </row>
    <row r="14" spans="1:10" ht="13.5" customHeight="1">
      <c r="A14" s="14" t="s">
        <v>122</v>
      </c>
      <c r="B14" s="160" t="s">
        <v>123</v>
      </c>
      <c r="C14" s="180"/>
      <c r="D14" s="159"/>
      <c r="E14" s="160" t="s">
        <v>118</v>
      </c>
      <c r="F14" s="159"/>
      <c r="G14" s="160">
        <f>MAX(C14:E14)</f>
        <v>0</v>
      </c>
      <c r="H14" s="159"/>
      <c r="I14" s="181" t="e">
        <f>AVERAGE(C14:E14)</f>
        <v>#DIV/0!</v>
      </c>
      <c r="J14" s="129"/>
    </row>
    <row r="15" spans="1:10" ht="13.5" customHeight="1">
      <c r="A15" s="14" t="s">
        <v>124</v>
      </c>
      <c r="B15" s="160" t="s">
        <v>125</v>
      </c>
      <c r="C15" s="180"/>
      <c r="D15" s="159"/>
      <c r="E15" s="160" t="s">
        <v>126</v>
      </c>
      <c r="F15" s="159"/>
      <c r="G15" s="160">
        <f>MAX(C15:E15)</f>
        <v>0</v>
      </c>
      <c r="H15" s="159"/>
      <c r="I15" s="181" t="e">
        <f>AVERAGE(C15:E15)</f>
        <v>#DIV/0!</v>
      </c>
      <c r="J15" s="129"/>
    </row>
    <row r="16" spans="1:10" ht="13.5" customHeight="1">
      <c r="A16" s="14" t="s">
        <v>58</v>
      </c>
      <c r="B16" s="160" t="s">
        <v>127</v>
      </c>
      <c r="C16" s="180"/>
      <c r="D16" s="159"/>
      <c r="E16" s="160" t="s">
        <v>128</v>
      </c>
      <c r="F16" s="159"/>
      <c r="G16" s="160">
        <f>MAX(C16:E16)</f>
        <v>0</v>
      </c>
      <c r="H16" s="159"/>
      <c r="I16" s="181" t="e">
        <f>AVERAGE(C16:E16)</f>
        <v>#DIV/0!</v>
      </c>
      <c r="J16" s="129"/>
    </row>
    <row r="17" spans="1:10" ht="13.5" customHeight="1">
      <c r="A17" s="14" t="s">
        <v>57</v>
      </c>
      <c r="B17" s="160" t="s">
        <v>129</v>
      </c>
      <c r="C17" s="180"/>
      <c r="D17" s="159"/>
      <c r="E17" s="160" t="s">
        <v>118</v>
      </c>
      <c r="F17" s="159"/>
      <c r="G17" s="160">
        <f>MAX(C17:E17)</f>
        <v>0</v>
      </c>
      <c r="H17" s="159"/>
      <c r="I17" s="181" t="e">
        <f>AVERAGE(C17:E17)</f>
        <v>#DIV/0!</v>
      </c>
      <c r="J17" s="129"/>
    </row>
    <row r="18" spans="1:10" ht="13.5" customHeight="1">
      <c r="A18" s="6" t="s">
        <v>130</v>
      </c>
      <c r="B18" s="53" t="s">
        <v>131</v>
      </c>
      <c r="C18" s="76"/>
      <c r="D18" s="54"/>
      <c r="E18" s="53" t="s">
        <v>132</v>
      </c>
      <c r="F18" s="54"/>
      <c r="G18" s="53" t="s">
        <v>133</v>
      </c>
      <c r="H18" s="54"/>
      <c r="I18" s="11" t="s">
        <v>119</v>
      </c>
    </row>
    <row r="19" spans="1:10" s="129" customFormat="1" ht="13.5" customHeight="1">
      <c r="A19" s="14" t="s">
        <v>134</v>
      </c>
      <c r="B19" s="160" t="s">
        <v>135</v>
      </c>
      <c r="C19" s="225"/>
      <c r="D19" s="174"/>
      <c r="E19" s="179">
        <f>SUM(E12:E17)</f>
        <v>0</v>
      </c>
      <c r="F19" s="174"/>
      <c r="G19" s="179">
        <f>SUM(G12:G17)</f>
        <v>0</v>
      </c>
      <c r="H19" s="174"/>
      <c r="I19" s="226" t="e">
        <f>SUM(I12:I17)</f>
        <v>#DIV/0!</v>
      </c>
    </row>
    <row r="20" spans="1:10" ht="13.5" customHeight="1">
      <c r="A20" s="116"/>
      <c r="B20" s="117"/>
      <c r="C20" s="118"/>
      <c r="D20" s="119"/>
      <c r="E20" s="117"/>
      <c r="F20" s="119"/>
      <c r="G20" s="117"/>
      <c r="H20" s="119"/>
      <c r="I20" s="117"/>
    </row>
    <row r="21" spans="1:10" s="163" customFormat="1" ht="30" customHeight="1">
      <c r="A21" s="241" t="s">
        <v>182</v>
      </c>
      <c r="B21" s="242"/>
      <c r="C21" s="245">
        <f>SUM(C9+C19)</f>
        <v>3260</v>
      </c>
      <c r="D21" s="245">
        <f>SUM(D9+D19)</f>
        <v>0</v>
      </c>
      <c r="E21" s="245">
        <f>SUM(E9+E19)</f>
        <v>0</v>
      </c>
      <c r="F21" s="245">
        <f>SUM(F9+F19)</f>
        <v>0</v>
      </c>
      <c r="G21" s="245">
        <f>SUM(G9+G19)</f>
        <v>0</v>
      </c>
      <c r="H21" s="245">
        <f>SUM(H9+H19)</f>
        <v>0</v>
      </c>
      <c r="I21" s="245" t="e">
        <f>SUM(I9+I19)</f>
        <v>#DIV/0!</v>
      </c>
    </row>
    <row r="22" spans="1:10" ht="13.5" customHeight="1">
      <c r="A22" s="101"/>
      <c r="B22" s="102"/>
      <c r="C22" s="103"/>
      <c r="D22" s="104"/>
      <c r="E22" s="102"/>
      <c r="F22" s="104"/>
      <c r="G22" s="102"/>
      <c r="H22" s="104"/>
      <c r="I22" s="102"/>
    </row>
    <row r="23" spans="1:10" ht="13.5" customHeight="1">
      <c r="A23" s="6"/>
      <c r="B23" s="11"/>
      <c r="C23" s="27"/>
      <c r="D23" s="12"/>
      <c r="E23" s="11"/>
      <c r="F23" s="12"/>
      <c r="G23" s="11"/>
      <c r="H23" s="12"/>
      <c r="I23" s="11"/>
    </row>
    <row r="24" spans="1:10" ht="13.5" customHeight="1">
      <c r="A24" s="6"/>
      <c r="B24" s="11"/>
      <c r="C24" s="27"/>
      <c r="D24" s="12"/>
      <c r="E24" s="11"/>
      <c r="F24" s="12"/>
      <c r="G24" s="11"/>
      <c r="H24" s="12"/>
      <c r="I24" s="11"/>
    </row>
    <row r="25" spans="1:10" ht="13.5" customHeight="1">
      <c r="A25" s="6"/>
      <c r="B25" s="11"/>
      <c r="C25" s="27"/>
      <c r="D25" s="12"/>
      <c r="E25" s="11"/>
      <c r="F25" s="12"/>
      <c r="G25" s="11"/>
      <c r="H25" s="12"/>
      <c r="I25" s="11"/>
    </row>
    <row r="26" spans="1:10" ht="13.5" customHeight="1">
      <c r="A26" s="6"/>
      <c r="B26" s="11"/>
      <c r="C26" s="27"/>
      <c r="D26" s="12"/>
      <c r="E26" s="11"/>
      <c r="F26" s="12"/>
      <c r="G26" s="11"/>
      <c r="H26" s="12"/>
      <c r="I26" s="11"/>
    </row>
    <row r="27" spans="1:10" ht="13.5" customHeight="1">
      <c r="A27" s="6"/>
      <c r="B27" s="11"/>
      <c r="C27" s="27"/>
      <c r="D27" s="12"/>
      <c r="E27" s="11"/>
      <c r="F27" s="12"/>
      <c r="G27" s="11"/>
      <c r="H27" s="12"/>
      <c r="I27" s="11"/>
    </row>
    <row r="28" spans="1:10" ht="13.5" customHeight="1">
      <c r="A28" s="6"/>
      <c r="B28" s="11"/>
      <c r="C28" s="27"/>
      <c r="D28" s="12"/>
      <c r="E28" s="11"/>
      <c r="F28" s="12"/>
      <c r="G28" s="11"/>
      <c r="H28" s="12"/>
      <c r="I28" s="11"/>
    </row>
    <row r="29" spans="1:10" ht="13.5" customHeight="1">
      <c r="A29" s="6"/>
      <c r="B29" s="11"/>
      <c r="C29" s="27"/>
      <c r="D29" s="12"/>
      <c r="E29" s="11"/>
      <c r="F29" s="12"/>
      <c r="G29" s="11"/>
      <c r="H29" s="12"/>
      <c r="I29" s="11"/>
    </row>
    <row r="30" spans="1:10" ht="13.5" customHeight="1">
      <c r="A30" s="6"/>
      <c r="B30" s="11"/>
      <c r="C30" s="27"/>
      <c r="D30" s="12"/>
      <c r="E30" s="11"/>
      <c r="F30" s="12"/>
      <c r="G30" s="11"/>
      <c r="H30" s="12"/>
      <c r="I30" s="11"/>
    </row>
    <row r="31" spans="1:10" ht="13.5" customHeight="1">
      <c r="A31" s="6"/>
      <c r="B31" s="11"/>
      <c r="C31" s="27"/>
      <c r="D31" s="12"/>
      <c r="E31" s="11"/>
      <c r="F31" s="12"/>
      <c r="G31" s="11"/>
      <c r="H31" s="12"/>
      <c r="I31" s="11"/>
    </row>
    <row r="32" spans="1:10" ht="13.5" customHeight="1">
      <c r="A32" s="6"/>
      <c r="B32" s="11"/>
      <c r="C32" s="27"/>
      <c r="D32" s="12"/>
      <c r="E32" s="11"/>
      <c r="F32" s="12"/>
      <c r="G32" s="11"/>
      <c r="H32" s="12"/>
      <c r="I32" s="11"/>
    </row>
    <row r="33" spans="1:10" ht="13.5" customHeight="1">
      <c r="A33" s="6"/>
      <c r="B33" s="11"/>
      <c r="C33" s="27"/>
      <c r="D33" s="12"/>
      <c r="E33" s="11"/>
      <c r="F33" s="12"/>
      <c r="G33" s="11"/>
      <c r="H33" s="12"/>
      <c r="I33" s="11"/>
    </row>
    <row r="34" spans="1:10" ht="13.5" customHeight="1">
      <c r="A34" s="6"/>
      <c r="B34" s="11"/>
      <c r="C34" s="27"/>
      <c r="D34" s="12"/>
      <c r="E34" s="11"/>
      <c r="F34" s="12"/>
      <c r="G34" s="11"/>
      <c r="H34" s="12"/>
      <c r="I34" s="11"/>
    </row>
    <row r="35" spans="1:10" ht="13.5" customHeight="1">
      <c r="A35" s="6"/>
      <c r="B35" s="11"/>
      <c r="C35" s="27"/>
      <c r="D35" s="12"/>
      <c r="E35" s="11"/>
      <c r="F35" s="12"/>
      <c r="G35" s="11"/>
      <c r="H35" s="12"/>
      <c r="I35" s="11"/>
    </row>
    <row r="36" spans="1:10" ht="13.5" customHeight="1">
      <c r="A36" s="6"/>
      <c r="B36" s="11"/>
      <c r="C36" s="27"/>
      <c r="D36" s="12"/>
      <c r="E36" s="11"/>
      <c r="F36" s="12"/>
      <c r="G36" s="11"/>
      <c r="H36" s="12"/>
      <c r="I36" s="11"/>
    </row>
    <row r="37" spans="1:10" ht="13.5" customHeight="1">
      <c r="A37" s="6"/>
      <c r="B37" s="11"/>
      <c r="C37" s="27"/>
      <c r="D37" s="12"/>
      <c r="E37" s="11"/>
      <c r="F37" s="12"/>
      <c r="G37" s="11"/>
      <c r="H37" s="12"/>
      <c r="I37" s="11"/>
    </row>
    <row r="38" spans="1:10" ht="13.5" customHeight="1">
      <c r="A38" s="6"/>
      <c r="B38" s="11"/>
      <c r="C38" s="27"/>
      <c r="D38" s="12"/>
      <c r="E38" s="11"/>
      <c r="F38" s="12"/>
      <c r="G38" s="11"/>
      <c r="H38" s="12"/>
      <c r="I38" s="11"/>
    </row>
    <row r="39" spans="1:10" ht="13.5" customHeight="1">
      <c r="A39" s="6"/>
      <c r="B39" s="11"/>
      <c r="C39" s="27"/>
      <c r="D39" s="12"/>
      <c r="E39" s="11"/>
      <c r="F39" s="12"/>
      <c r="G39" s="11"/>
      <c r="H39" s="12"/>
      <c r="I39" s="11"/>
    </row>
    <row r="40" spans="1:10" ht="13.5" customHeight="1">
      <c r="A40" s="6"/>
      <c r="B40" s="11"/>
      <c r="C40" s="27"/>
      <c r="D40" s="12"/>
      <c r="E40" s="11"/>
      <c r="F40" s="12"/>
      <c r="G40" s="11"/>
      <c r="H40" s="12"/>
      <c r="I40" s="11"/>
    </row>
    <row r="41" spans="1:10" ht="13.5" customHeight="1">
      <c r="A41" s="6"/>
      <c r="B41" s="11"/>
      <c r="C41" s="27"/>
      <c r="D41" s="12"/>
      <c r="E41" s="11"/>
      <c r="F41" s="12"/>
      <c r="G41" s="11"/>
      <c r="H41" s="12"/>
      <c r="I41" s="11"/>
    </row>
    <row r="42" spans="1:10" ht="13.5" customHeight="1">
      <c r="A42" s="6" t="s">
        <v>136</v>
      </c>
      <c r="B42" s="53" t="s">
        <v>137</v>
      </c>
      <c r="C42" s="76"/>
      <c r="D42" s="54"/>
      <c r="E42" s="53" t="s">
        <v>138</v>
      </c>
      <c r="F42" s="54"/>
      <c r="G42" s="53" t="s">
        <v>139</v>
      </c>
      <c r="H42" s="54"/>
      <c r="I42" s="11" t="s">
        <v>140</v>
      </c>
    </row>
    <row r="43" spans="1:10" ht="22.7" customHeight="1">
      <c r="A43" s="77"/>
      <c r="B43" s="77"/>
      <c r="C43" s="77"/>
      <c r="D43" s="77"/>
      <c r="E43" s="77"/>
      <c r="F43" s="77"/>
      <c r="G43" s="77"/>
      <c r="H43" s="77"/>
    </row>
    <row r="44" spans="1:10" ht="13.5" customHeight="1">
      <c r="A44" s="6" t="s">
        <v>90</v>
      </c>
      <c r="B44" s="46" t="s">
        <v>141</v>
      </c>
      <c r="C44" s="59"/>
      <c r="D44" s="47"/>
      <c r="E44" s="40"/>
      <c r="F44" s="58"/>
      <c r="G44" s="58"/>
      <c r="H44" s="58"/>
      <c r="J44" t="s">
        <v>180</v>
      </c>
    </row>
    <row r="45" spans="1:10" ht="13.5" customHeight="1">
      <c r="A45" s="6" t="s">
        <v>142</v>
      </c>
      <c r="B45" s="78" t="s">
        <v>143</v>
      </c>
      <c r="C45" s="79"/>
      <c r="D45" s="80"/>
      <c r="E45" s="40"/>
      <c r="F45" s="58"/>
      <c r="G45" s="58"/>
      <c r="H45" s="58"/>
    </row>
    <row r="46" spans="1:10" ht="13.5" customHeight="1">
      <c r="A46" s="6" t="s">
        <v>144</v>
      </c>
      <c r="B46" s="78" t="s">
        <v>145</v>
      </c>
      <c r="C46" s="79"/>
      <c r="D46" s="80"/>
      <c r="E46" s="40"/>
      <c r="F46" s="58"/>
      <c r="G46" s="58"/>
      <c r="H46" s="58"/>
    </row>
    <row r="47" spans="1:10" ht="13.5" customHeight="1">
      <c r="A47" s="6" t="s">
        <v>146</v>
      </c>
      <c r="B47" s="78" t="s">
        <v>147</v>
      </c>
      <c r="C47" s="79"/>
      <c r="D47" s="80"/>
      <c r="E47" s="40"/>
      <c r="F47" s="58"/>
      <c r="G47" s="58"/>
      <c r="H47" s="58"/>
    </row>
    <row r="48" spans="1:10" ht="13.5" customHeight="1">
      <c r="A48" s="6" t="s">
        <v>148</v>
      </c>
      <c r="B48" s="78" t="s">
        <v>149</v>
      </c>
      <c r="C48" s="79"/>
      <c r="D48" s="80"/>
      <c r="E48" s="40"/>
      <c r="F48" s="58"/>
      <c r="G48" s="58"/>
      <c r="H48" s="58"/>
    </row>
    <row r="49" spans="1:8" ht="140.25" customHeight="1">
      <c r="A49" s="49"/>
      <c r="B49" s="49"/>
      <c r="C49" s="49"/>
      <c r="D49" s="49"/>
      <c r="E49" s="49"/>
      <c r="F49" s="49"/>
      <c r="G49" s="49"/>
      <c r="H49" s="49"/>
    </row>
  </sheetData>
  <mergeCells count="61">
    <mergeCell ref="A49:H49"/>
    <mergeCell ref="A21:B21"/>
    <mergeCell ref="A43:H43"/>
    <mergeCell ref="B44:D44"/>
    <mergeCell ref="E44:H48"/>
    <mergeCell ref="B45:D45"/>
    <mergeCell ref="B46:D46"/>
    <mergeCell ref="B47:D47"/>
    <mergeCell ref="B48:D48"/>
    <mergeCell ref="B42:D42"/>
    <mergeCell ref="E42:F42"/>
    <mergeCell ref="G42:H42"/>
    <mergeCell ref="B18:D18"/>
    <mergeCell ref="E18:F18"/>
    <mergeCell ref="G18:H18"/>
    <mergeCell ref="B19:D19"/>
    <mergeCell ref="E19:F19"/>
    <mergeCell ref="G19:H19"/>
    <mergeCell ref="E15:F15"/>
    <mergeCell ref="G15:H15"/>
    <mergeCell ref="B16:D16"/>
    <mergeCell ref="E16:F16"/>
    <mergeCell ref="G16:H16"/>
    <mergeCell ref="B17:D17"/>
    <mergeCell ref="E17:F17"/>
    <mergeCell ref="G17:H17"/>
    <mergeCell ref="D8:E8"/>
    <mergeCell ref="A9:B9"/>
    <mergeCell ref="D9:E9"/>
    <mergeCell ref="A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A1:B1"/>
    <mergeCell ref="D1:E1"/>
    <mergeCell ref="G1:H2"/>
    <mergeCell ref="A2:B2"/>
    <mergeCell ref="D2:E2"/>
    <mergeCell ref="A3:B3"/>
    <mergeCell ref="D3:E3"/>
    <mergeCell ref="G3:G5"/>
    <mergeCell ref="A4:B4"/>
    <mergeCell ref="D4:E4"/>
    <mergeCell ref="A5:B5"/>
    <mergeCell ref="D5:E5"/>
    <mergeCell ref="A6:B6"/>
    <mergeCell ref="D6:E6"/>
    <mergeCell ref="G6:H9"/>
    <mergeCell ref="A7:B7"/>
    <mergeCell ref="D7:E7"/>
    <mergeCell ref="A8:B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/>
      <c r="H5" s="129"/>
      <c r="I5" s="129"/>
    </row>
    <row r="6" spans="1:10">
      <c r="F6" s="129"/>
      <c r="G6" s="129"/>
      <c r="H6" s="129"/>
      <c r="I6" s="129"/>
    </row>
    <row r="7" spans="1:10">
      <c r="C7">
        <v>3260</v>
      </c>
      <c r="F7" s="129"/>
      <c r="G7" s="129"/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4"/>
  <sheetViews>
    <sheetView tabSelected="1" workbookViewId="0">
      <selection activeCell="F15" sqref="F15"/>
    </sheetView>
  </sheetViews>
  <sheetFormatPr defaultRowHeight="12.75"/>
  <cols>
    <col min="1" max="1" width="6.5" customWidth="1"/>
    <col min="2" max="2" width="19.5" customWidth="1"/>
    <col min="3" max="3" width="18.1640625" customWidth="1"/>
    <col min="4" max="4" width="16.83203125" customWidth="1"/>
    <col min="5" max="5" width="17.1640625" customWidth="1"/>
    <col min="6" max="6" width="24.6640625" customWidth="1"/>
    <col min="7" max="7" width="16.6640625" customWidth="1"/>
    <col min="8" max="8" width="7.1640625" customWidth="1"/>
  </cols>
  <sheetData>
    <row r="1" spans="1:10" ht="15" customHeight="1">
      <c r="A1" s="21"/>
      <c r="B1" s="29" t="s">
        <v>150</v>
      </c>
      <c r="C1" s="29" t="s">
        <v>151</v>
      </c>
      <c r="D1" s="29" t="s">
        <v>152</v>
      </c>
      <c r="E1" s="29" t="s">
        <v>153</v>
      </c>
      <c r="F1" s="29" t="s">
        <v>154</v>
      </c>
      <c r="G1" s="45"/>
      <c r="H1" s="44"/>
    </row>
    <row r="2" spans="1:10" ht="15" customHeight="1">
      <c r="A2" s="30">
        <v>1</v>
      </c>
      <c r="B2" s="81" t="s">
        <v>155</v>
      </c>
      <c r="C2" s="82"/>
      <c r="D2" s="82"/>
      <c r="E2" s="82"/>
      <c r="F2" s="140"/>
      <c r="G2" s="141">
        <f>MAX(C2:E2)</f>
        <v>0</v>
      </c>
      <c r="H2" s="142"/>
      <c r="I2" s="129" t="e">
        <f>AVERAGE(C2:E2)</f>
        <v>#DIV/0!</v>
      </c>
    </row>
    <row r="3" spans="1:10" ht="15" customHeight="1">
      <c r="A3" s="30">
        <v>2</v>
      </c>
      <c r="B3" s="51"/>
      <c r="C3" s="42"/>
      <c r="D3" s="42"/>
      <c r="E3" s="42"/>
      <c r="F3" s="143"/>
      <c r="G3" s="141"/>
      <c r="H3" s="142"/>
      <c r="I3" s="129"/>
    </row>
    <row r="4" spans="1:10" ht="15" customHeight="1">
      <c r="A4" s="30">
        <v>3</v>
      </c>
      <c r="B4" s="81" t="s">
        <v>156</v>
      </c>
      <c r="C4" s="82"/>
      <c r="D4" s="82"/>
      <c r="E4" s="82"/>
      <c r="F4" s="140"/>
      <c r="G4" s="141"/>
      <c r="H4" s="142"/>
      <c r="I4" s="129"/>
    </row>
    <row r="5" spans="1:10" ht="15" customHeight="1">
      <c r="A5" s="30">
        <v>4</v>
      </c>
      <c r="B5" s="83"/>
      <c r="C5" s="74"/>
      <c r="D5" s="74"/>
      <c r="E5" s="74"/>
      <c r="F5" s="144"/>
      <c r="G5" s="141"/>
      <c r="H5" s="142"/>
      <c r="I5" s="129"/>
    </row>
    <row r="6" spans="1:10" ht="15" customHeight="1">
      <c r="A6" s="30">
        <v>5</v>
      </c>
      <c r="B6" s="84" t="s">
        <v>157</v>
      </c>
      <c r="C6" s="85"/>
      <c r="D6" s="85"/>
      <c r="E6" s="85"/>
      <c r="F6" s="145"/>
      <c r="G6" s="145"/>
      <c r="H6" s="146"/>
      <c r="I6" s="129"/>
    </row>
    <row r="7" spans="1:10" ht="15" customHeight="1">
      <c r="A7" s="30">
        <v>6</v>
      </c>
      <c r="B7" s="86"/>
      <c r="C7" s="87"/>
      <c r="D7" s="87"/>
      <c r="E7" s="87"/>
      <c r="F7" s="147"/>
      <c r="G7" s="147"/>
      <c r="H7" s="148"/>
      <c r="I7" s="129"/>
    </row>
    <row r="8" spans="1:10" ht="15" customHeight="1">
      <c r="A8" s="30">
        <v>7</v>
      </c>
      <c r="B8" s="32"/>
      <c r="C8" s="88" t="s">
        <v>158</v>
      </c>
      <c r="D8" s="89"/>
      <c r="E8" s="89"/>
      <c r="F8" s="90"/>
      <c r="G8" s="40"/>
      <c r="H8" s="41"/>
    </row>
    <row r="9" spans="1:10" ht="15" customHeight="1">
      <c r="A9" s="30">
        <v>8</v>
      </c>
      <c r="B9" s="161" t="s">
        <v>159</v>
      </c>
      <c r="C9" s="167"/>
      <c r="D9" s="167"/>
      <c r="E9" s="167"/>
      <c r="F9" s="168"/>
      <c r="G9" s="166"/>
      <c r="H9" s="169"/>
      <c r="I9" s="163" t="e">
        <f>SUM(I2:I7)</f>
        <v>#DIV/0!</v>
      </c>
    </row>
    <row r="10" spans="1:10" ht="15" customHeight="1">
      <c r="A10" s="189"/>
      <c r="B10" s="135"/>
      <c r="C10" s="141"/>
      <c r="D10" s="141"/>
      <c r="E10" s="141"/>
      <c r="F10" s="190"/>
      <c r="G10" s="135"/>
      <c r="H10" s="142"/>
      <c r="I10" s="129"/>
      <c r="J10" s="129"/>
    </row>
    <row r="11" spans="1:10" s="210" customFormat="1" ht="15" customHeight="1">
      <c r="A11" s="30">
        <v>10</v>
      </c>
      <c r="B11" s="135"/>
      <c r="C11" s="141"/>
      <c r="D11" s="141"/>
      <c r="E11" s="141"/>
      <c r="F11" s="190"/>
      <c r="G11" s="135"/>
      <c r="H11" s="142"/>
    </row>
    <row r="12" spans="1:10" ht="15" customHeight="1">
      <c r="A12" s="189">
        <v>11</v>
      </c>
      <c r="B12" s="135"/>
      <c r="C12" s="141"/>
      <c r="D12" s="141"/>
      <c r="E12" s="141"/>
      <c r="F12" s="190"/>
      <c r="G12" s="135"/>
      <c r="H12" s="142"/>
      <c r="I12" s="129" t="e">
        <f>AVERAGE(C12:E12)</f>
        <v>#DIV/0!</v>
      </c>
      <c r="J12" s="129"/>
    </row>
    <row r="13" spans="1:10" ht="15" customHeight="1">
      <c r="A13" s="189">
        <v>12</v>
      </c>
      <c r="B13" s="191"/>
      <c r="C13" s="192"/>
      <c r="D13" s="192"/>
      <c r="E13" s="192"/>
      <c r="F13" s="193"/>
      <c r="G13" s="135"/>
      <c r="H13" s="142"/>
      <c r="I13" s="129" t="e">
        <f>AVERAGE(C13:E13)</f>
        <v>#DIV/0!</v>
      </c>
      <c r="J13" s="129"/>
    </row>
    <row r="14" spans="1:10" ht="408.95" customHeight="1">
      <c r="A14" s="194"/>
      <c r="B14" s="194"/>
      <c r="C14" s="194"/>
      <c r="D14" s="194"/>
      <c r="E14" s="194"/>
      <c r="F14" s="194"/>
      <c r="G14" s="194"/>
      <c r="H14" s="195"/>
      <c r="I14" s="129" t="e">
        <f>AVERAGE(C14:E14)</f>
        <v>#DIV/0!</v>
      </c>
      <c r="J14" s="129"/>
    </row>
    <row r="15" spans="1:10" ht="73.349999999999994" customHeight="1">
      <c r="A15" s="196"/>
      <c r="B15" s="196"/>
      <c r="C15" s="196"/>
      <c r="D15" s="196"/>
      <c r="E15" s="196"/>
      <c r="F15" s="196"/>
      <c r="G15" s="196"/>
      <c r="H15" s="197"/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2">
    <mergeCell ref="A14:H15"/>
    <mergeCell ref="A21:B21"/>
    <mergeCell ref="G1:H1"/>
    <mergeCell ref="B2:F2"/>
    <mergeCell ref="G2:H5"/>
    <mergeCell ref="B3:F3"/>
    <mergeCell ref="B4:F4"/>
    <mergeCell ref="B5:F5"/>
    <mergeCell ref="B6:H7"/>
    <mergeCell ref="C8:F8"/>
    <mergeCell ref="G8:H13"/>
    <mergeCell ref="B9:F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/>
      <c r="G3" s="129"/>
      <c r="H3" s="129"/>
      <c r="I3" s="129"/>
    </row>
    <row r="4" spans="1:10">
      <c r="F4" s="129"/>
      <c r="G4" s="129"/>
      <c r="H4" s="129"/>
      <c r="I4" s="129"/>
    </row>
    <row r="5" spans="1:10">
      <c r="F5" s="129"/>
      <c r="G5" s="129">
        <f>MAX(C5:E5)</f>
        <v>0</v>
      </c>
      <c r="H5" s="129"/>
      <c r="I5" s="129"/>
    </row>
    <row r="6" spans="1:10">
      <c r="F6" s="129"/>
      <c r="G6" s="129">
        <f t="shared" ref="G6:G7" si="0">MAX(C6:E6)</f>
        <v>0</v>
      </c>
      <c r="H6" s="129"/>
      <c r="I6" s="129"/>
    </row>
    <row r="7" spans="1:10">
      <c r="C7">
        <v>3260</v>
      </c>
      <c r="F7" s="129"/>
      <c r="G7" s="129">
        <f t="shared" si="0"/>
        <v>3260</v>
      </c>
      <c r="H7" s="129"/>
      <c r="I7" s="129"/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0</v>
      </c>
      <c r="G9" s="163">
        <f>SUM(G2:G7)</f>
        <v>3260</v>
      </c>
      <c r="H9" s="163">
        <f>SUM(H2:H7)</f>
        <v>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0</v>
      </c>
      <c r="G21" s="243">
        <f>SUM(G9+G19)</f>
        <v>3260</v>
      </c>
      <c r="H21" s="243">
        <f>SUM(H9+H19)</f>
        <v>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4"/>
  <sheetViews>
    <sheetView tabSelected="1" workbookViewId="0">
      <selection activeCell="F15" sqref="F15"/>
    </sheetView>
  </sheetViews>
  <sheetFormatPr defaultRowHeight="12.75"/>
  <cols>
    <col min="1" max="1" width="22.6640625" customWidth="1"/>
    <col min="2" max="2" width="10.6640625" customWidth="1"/>
    <col min="3" max="4" width="10.83203125" customWidth="1"/>
    <col min="5" max="5" width="10.6640625" customWidth="1"/>
    <col min="6" max="6" width="10.83203125" customWidth="1"/>
    <col min="7" max="7" width="14.6640625" customWidth="1"/>
    <col min="8" max="8" width="11.1640625" customWidth="1"/>
    <col min="9" max="9" width="17.1640625" customWidth="1"/>
  </cols>
  <sheetData>
    <row r="1" spans="1:10" ht="13.5" customHeight="1">
      <c r="A1" s="33" t="s">
        <v>181</v>
      </c>
      <c r="B1" s="34">
        <v>0.125</v>
      </c>
      <c r="C1" s="91" t="s">
        <v>160</v>
      </c>
      <c r="D1" s="92"/>
      <c r="E1" s="92"/>
      <c r="F1" s="92"/>
      <c r="G1" s="92"/>
      <c r="H1" s="92"/>
    </row>
    <row r="2" spans="1:10" ht="13.5" customHeight="1">
      <c r="A2" s="33" t="s">
        <v>161</v>
      </c>
      <c r="B2" s="35">
        <v>3.34</v>
      </c>
      <c r="C2" s="91"/>
      <c r="D2" s="92"/>
      <c r="E2" s="92"/>
      <c r="F2" s="130"/>
      <c r="G2" s="130"/>
      <c r="H2" s="130"/>
      <c r="I2" s="129" t="e">
        <f>AVERAGE(C2:E2)</f>
        <v>#DIV/0!</v>
      </c>
    </row>
    <row r="3" spans="1:10" ht="23.25" customHeight="1">
      <c r="A3" s="74"/>
      <c r="B3" s="74"/>
      <c r="C3" s="43"/>
      <c r="D3" s="43"/>
      <c r="E3" s="43"/>
      <c r="F3" s="131"/>
      <c r="G3" s="131"/>
      <c r="H3" s="131"/>
      <c r="I3" s="129"/>
    </row>
    <row r="4" spans="1:10" ht="13.5" customHeight="1">
      <c r="A4" s="43"/>
      <c r="B4" s="64"/>
      <c r="C4" s="93" t="s">
        <v>162</v>
      </c>
      <c r="D4" s="94"/>
      <c r="E4" s="95"/>
      <c r="F4" s="132" t="s">
        <v>163</v>
      </c>
      <c r="G4" s="133"/>
      <c r="H4" s="134"/>
      <c r="I4" s="135"/>
    </row>
    <row r="5" spans="1:10" ht="13.5" customHeight="1">
      <c r="A5" s="37" t="s">
        <v>164</v>
      </c>
      <c r="B5" s="37" t="s">
        <v>165</v>
      </c>
      <c r="C5" s="38" t="s">
        <v>166</v>
      </c>
      <c r="D5" s="38" t="s">
        <v>167</v>
      </c>
      <c r="E5" s="38" t="s">
        <v>168</v>
      </c>
      <c r="F5" s="136" t="s">
        <v>166</v>
      </c>
      <c r="G5" s="137"/>
      <c r="H5" s="138" t="s">
        <v>168</v>
      </c>
      <c r="I5" s="135"/>
    </row>
    <row r="6" spans="1:10" ht="13.5" customHeight="1">
      <c r="A6" s="37" t="s">
        <v>169</v>
      </c>
      <c r="B6" s="39">
        <v>500</v>
      </c>
      <c r="C6" s="35">
        <v>0.5</v>
      </c>
      <c r="D6" s="35">
        <v>0.55000000000000004</v>
      </c>
      <c r="E6" s="8"/>
      <c r="F6" s="139"/>
      <c r="G6" s="137"/>
      <c r="H6" s="139"/>
      <c r="I6" s="135"/>
    </row>
    <row r="7" spans="1:10" ht="13.5" customHeight="1">
      <c r="A7" s="37" t="s">
        <v>170</v>
      </c>
      <c r="B7" s="39">
        <v>200</v>
      </c>
      <c r="C7" s="35">
        <v>3260</v>
      </c>
      <c r="D7" s="35">
        <v>2.7</v>
      </c>
      <c r="E7" s="8"/>
      <c r="F7" s="139"/>
      <c r="G7" s="137"/>
      <c r="H7" s="139"/>
      <c r="I7" s="135"/>
    </row>
    <row r="8" spans="1:10" ht="13.5" customHeight="1">
      <c r="A8" s="37" t="s">
        <v>171</v>
      </c>
      <c r="B8" s="39">
        <v>300</v>
      </c>
      <c r="C8" s="35">
        <v>5</v>
      </c>
      <c r="D8" s="35">
        <v>5.5</v>
      </c>
      <c r="E8" s="8"/>
      <c r="F8" s="8"/>
      <c r="G8" s="8"/>
      <c r="H8" s="8"/>
      <c r="I8" s="40"/>
    </row>
    <row r="9" spans="1:10" ht="13.5" customHeight="1">
      <c r="A9" s="37" t="s">
        <v>172</v>
      </c>
      <c r="B9" s="39">
        <v>1000</v>
      </c>
      <c r="C9" s="164">
        <f>SUM(C2:C7)</f>
        <v>3260.5</v>
      </c>
      <c r="D9" s="164">
        <f>SUM(D2:D7)</f>
        <v>3.25</v>
      </c>
      <c r="E9" s="165">
        <f>SUM(E2:E7)</f>
        <v>0</v>
      </c>
      <c r="F9" s="165">
        <f>SUM(F2:F7)</f>
        <v>0</v>
      </c>
      <c r="G9" s="165">
        <f>SUM(G2:G7)</f>
        <v>0</v>
      </c>
      <c r="H9" s="165">
        <f>SUM(H2:H7)</f>
        <v>0</v>
      </c>
      <c r="I9" s="166"/>
    </row>
    <row r="10" spans="1:10" ht="13.5" customHeight="1">
      <c r="A10" s="187"/>
      <c r="B10" s="39">
        <v>1000</v>
      </c>
      <c r="C10" s="35">
        <v>0.15</v>
      </c>
      <c r="D10" s="35">
        <v>0.25</v>
      </c>
      <c r="E10" s="139"/>
      <c r="F10" s="139"/>
      <c r="G10" s="139"/>
      <c r="H10" s="139"/>
      <c r="I10" s="135"/>
      <c r="J10" s="129"/>
    </row>
    <row r="11" spans="1:10" s="210" customFormat="1" ht="13.5" customHeight="1">
      <c r="A11" s="36" t="s">
        <v>173</v>
      </c>
      <c r="B11" s="211">
        <v>200</v>
      </c>
      <c r="C11" s="212">
        <v>3</v>
      </c>
      <c r="D11" s="212">
        <v>3.5</v>
      </c>
      <c r="E11" s="213"/>
      <c r="F11" s="213"/>
      <c r="G11" s="213"/>
      <c r="H11" s="213"/>
      <c r="I11" s="135"/>
    </row>
    <row r="12" spans="1:10" ht="13.5" customHeight="1">
      <c r="A12" s="187" t="s">
        <v>174</v>
      </c>
      <c r="B12" s="39">
        <v>500</v>
      </c>
      <c r="C12" s="35">
        <v>0.25</v>
      </c>
      <c r="D12" s="35">
        <v>0.3</v>
      </c>
      <c r="E12" s="139"/>
      <c r="F12" s="188">
        <f>SUM(C12:E12)</f>
        <v>0.55000000000000004</v>
      </c>
      <c r="G12" s="188">
        <f>MAX(C12:E12)</f>
        <v>0.3</v>
      </c>
      <c r="H12" s="188">
        <f>MIN(C12:E12)</f>
        <v>0.25</v>
      </c>
      <c r="I12" s="135"/>
      <c r="J12" s="129"/>
    </row>
    <row r="13" spans="1:10" ht="13.5" customHeight="1">
      <c r="A13" s="187" t="s">
        <v>175</v>
      </c>
      <c r="B13" s="39">
        <v>500</v>
      </c>
      <c r="C13" s="35">
        <v>0.35</v>
      </c>
      <c r="D13" s="35">
        <v>0.45</v>
      </c>
      <c r="E13" s="139"/>
      <c r="F13" s="188">
        <f>SUM(C13:E13)</f>
        <v>0.8</v>
      </c>
      <c r="G13" s="188">
        <f>MAX(C13:E13)</f>
        <v>0.45</v>
      </c>
      <c r="H13" s="188">
        <f>MIN(C13:E13)</f>
        <v>0.35</v>
      </c>
      <c r="I13" s="135"/>
      <c r="J13" s="129"/>
    </row>
    <row r="14" spans="1:10" ht="13.5" customHeight="1">
      <c r="A14" s="187" t="s">
        <v>176</v>
      </c>
      <c r="B14" s="39">
        <v>50</v>
      </c>
      <c r="C14" s="35">
        <v>6</v>
      </c>
      <c r="D14" s="35">
        <v>6.5</v>
      </c>
      <c r="E14" s="139"/>
      <c r="F14" s="188">
        <f>SUM(C14:E14)</f>
        <v>12.5</v>
      </c>
      <c r="G14" s="188">
        <f>MAX(C14:E14)</f>
        <v>6.5</v>
      </c>
      <c r="H14" s="188">
        <f>MIN(C14:E14)</f>
        <v>6</v>
      </c>
      <c r="I14" s="135"/>
      <c r="J14" s="129"/>
    </row>
    <row r="15" spans="1:10" ht="13.5" customHeight="1">
      <c r="A15" s="187" t="s">
        <v>177</v>
      </c>
      <c r="B15" s="39">
        <v>100</v>
      </c>
      <c r="C15" s="35">
        <v>3.14</v>
      </c>
      <c r="D15" s="35">
        <v>4</v>
      </c>
      <c r="E15" s="139"/>
      <c r="F15" s="188">
        <f>SUM(C15:E15)</f>
        <v>7.1400000000000006</v>
      </c>
      <c r="G15" s="188">
        <f>MAX(C15:E15)</f>
        <v>4</v>
      </c>
      <c r="H15" s="188">
        <f>MIN(C15:E15)</f>
        <v>3.14</v>
      </c>
      <c r="I15" s="135"/>
      <c r="J15" s="129"/>
    </row>
    <row r="16" spans="1:10" ht="13.5" customHeight="1">
      <c r="A16" s="187" t="s">
        <v>178</v>
      </c>
      <c r="B16" s="39">
        <v>100</v>
      </c>
      <c r="C16" s="35">
        <v>5.68</v>
      </c>
      <c r="D16" s="35">
        <v>6</v>
      </c>
      <c r="E16" s="139"/>
      <c r="F16" s="188">
        <f>SUM(C16:E16)</f>
        <v>11.68</v>
      </c>
      <c r="G16" s="188">
        <f>MAX(C16:E16)</f>
        <v>6</v>
      </c>
      <c r="H16" s="188">
        <f>MIN(C16:E16)</f>
        <v>5.68</v>
      </c>
      <c r="I16" s="135"/>
      <c r="J16" s="129"/>
    </row>
    <row r="17" spans="1:10" ht="13.5" customHeight="1">
      <c r="A17" s="187" t="s">
        <v>179</v>
      </c>
      <c r="B17" s="139"/>
      <c r="C17" s="139"/>
      <c r="D17" s="139"/>
      <c r="E17" s="139"/>
      <c r="F17" s="139">
        <f>SUM(C17:E17)</f>
        <v>0</v>
      </c>
      <c r="G17" s="139">
        <f>MAX(C17:E17)</f>
        <v>0</v>
      </c>
      <c r="H17" s="139">
        <f>MIN(C17:E17)</f>
        <v>0</v>
      </c>
      <c r="I17" s="135"/>
      <c r="J17" s="129"/>
    </row>
    <row r="18" spans="1:10" ht="408.95" customHeight="1">
      <c r="A18" s="58"/>
      <c r="B18" s="58"/>
      <c r="C18" s="58"/>
      <c r="D18" s="58"/>
      <c r="E18" s="58"/>
      <c r="F18" s="58"/>
      <c r="G18" s="58"/>
      <c r="H18" s="58"/>
    </row>
    <row r="19" spans="1:10" s="129" customFormat="1" ht="33.200000000000003" customHeight="1">
      <c r="A19" s="96"/>
      <c r="B19" s="96"/>
      <c r="C19" s="224"/>
      <c r="D19" s="224"/>
      <c r="E19" s="224"/>
      <c r="F19" s="224"/>
      <c r="G19" s="224"/>
      <c r="H19" s="224"/>
      <c r="I19" s="163">
        <f>SUM(I12:I17)</f>
        <v>0</v>
      </c>
    </row>
    <row r="20" spans="1:10" ht="33.200000000000003" customHeight="1">
      <c r="A20" s="100"/>
      <c r="B20" s="100"/>
      <c r="C20" s="100"/>
      <c r="D20" s="100"/>
      <c r="E20" s="100"/>
      <c r="F20" s="100"/>
      <c r="G20" s="100"/>
      <c r="H20" s="100"/>
    </row>
    <row r="21" spans="1:10" s="163" customFormat="1" ht="30" customHeight="1">
      <c r="A21" s="241" t="s">
        <v>182</v>
      </c>
      <c r="B21" s="242"/>
      <c r="C21" s="244">
        <f>SUM(C9+C19)</f>
        <v>3260.5</v>
      </c>
      <c r="D21" s="244">
        <f>SUM(D9+D19)</f>
        <v>3.25</v>
      </c>
      <c r="E21" s="244">
        <f>SUM(E9+E19)</f>
        <v>0</v>
      </c>
      <c r="F21" s="244">
        <f>SUM(F9+F19)</f>
        <v>0</v>
      </c>
      <c r="G21" s="244">
        <f>SUM(G9+G19)</f>
        <v>0</v>
      </c>
      <c r="H21" s="244">
        <f>SUM(H9+H19)</f>
        <v>0</v>
      </c>
      <c r="I21" s="244">
        <f>SUM(I9+I19)</f>
        <v>0</v>
      </c>
    </row>
    <row r="22" spans="1:10" ht="33.200000000000003" customHeight="1">
      <c r="A22" s="100"/>
      <c r="B22" s="100"/>
      <c r="C22" s="100"/>
      <c r="D22" s="100"/>
      <c r="E22" s="100"/>
      <c r="F22" s="100"/>
      <c r="G22" s="100"/>
      <c r="H22" s="100"/>
    </row>
    <row r="23" spans="1:10" ht="33.200000000000003" customHeight="1">
      <c r="A23" s="100"/>
      <c r="B23" s="100"/>
      <c r="C23" s="100"/>
      <c r="D23" s="100"/>
      <c r="E23" s="100"/>
      <c r="F23" s="100"/>
      <c r="G23" s="100"/>
      <c r="H23" s="100"/>
    </row>
    <row r="24" spans="1:10" ht="33.200000000000003" customHeight="1">
      <c r="A24" s="100"/>
      <c r="B24" s="100"/>
      <c r="C24" s="100"/>
      <c r="D24" s="100"/>
      <c r="E24" s="100"/>
      <c r="F24" s="100"/>
      <c r="G24" s="100"/>
      <c r="H24" s="100"/>
    </row>
    <row r="25" spans="1:10" ht="33.200000000000003" customHeight="1">
      <c r="A25" s="100"/>
      <c r="B25" s="100"/>
      <c r="C25" s="100"/>
      <c r="D25" s="100"/>
      <c r="E25" s="100"/>
      <c r="F25" s="100"/>
      <c r="G25" s="100"/>
      <c r="H25" s="100"/>
    </row>
    <row r="26" spans="1:10" ht="33.200000000000003" customHeight="1">
      <c r="A26" s="100"/>
      <c r="B26" s="100"/>
      <c r="C26" s="100"/>
      <c r="D26" s="100"/>
      <c r="E26" s="100"/>
      <c r="F26" s="100"/>
      <c r="G26" s="100"/>
      <c r="H26" s="100"/>
    </row>
    <row r="27" spans="1:10" ht="33.200000000000003" customHeight="1">
      <c r="A27" s="100"/>
      <c r="B27" s="100"/>
      <c r="C27" s="100"/>
      <c r="D27" s="100"/>
      <c r="E27" s="100"/>
      <c r="F27" s="100"/>
      <c r="G27" s="100"/>
      <c r="H27" s="100"/>
    </row>
    <row r="28" spans="1:10" ht="33.200000000000003" customHeight="1">
      <c r="A28" s="100"/>
      <c r="B28" s="100"/>
      <c r="C28" s="100"/>
      <c r="D28" s="100"/>
      <c r="E28" s="100"/>
      <c r="F28" s="100"/>
      <c r="G28" s="100"/>
      <c r="H28" s="100"/>
    </row>
    <row r="29" spans="1:10" ht="33.200000000000003" customHeight="1">
      <c r="A29" s="100"/>
      <c r="B29" s="100"/>
      <c r="C29" s="100"/>
      <c r="D29" s="100"/>
      <c r="E29" s="100"/>
      <c r="F29" s="100"/>
      <c r="G29" s="100"/>
      <c r="H29" s="100"/>
    </row>
    <row r="30" spans="1:10" ht="33.200000000000003" customHeight="1">
      <c r="A30" s="100"/>
      <c r="B30" s="100"/>
      <c r="C30" s="100"/>
      <c r="D30" s="100"/>
      <c r="E30" s="100"/>
      <c r="F30" s="100"/>
      <c r="G30" s="100"/>
      <c r="H30" s="100"/>
    </row>
    <row r="31" spans="1:10" ht="33.200000000000003" customHeight="1">
      <c r="A31" s="100"/>
      <c r="B31" s="100"/>
      <c r="C31" s="100"/>
      <c r="D31" s="100"/>
      <c r="E31" s="100"/>
      <c r="F31" s="100"/>
      <c r="G31" s="100"/>
      <c r="H31" s="100"/>
    </row>
    <row r="32" spans="1:10" ht="33.200000000000003" customHeight="1">
      <c r="A32" s="100"/>
      <c r="B32" s="100"/>
      <c r="C32" s="100"/>
      <c r="D32" s="100"/>
      <c r="E32" s="100"/>
      <c r="F32" s="100"/>
      <c r="G32" s="100"/>
      <c r="H32" s="100"/>
    </row>
    <row r="33" spans="1:10" ht="33.200000000000003" customHeight="1">
      <c r="A33" s="100"/>
      <c r="B33" s="100"/>
      <c r="C33" s="100"/>
      <c r="D33" s="100"/>
      <c r="E33" s="100"/>
      <c r="F33" s="100"/>
      <c r="G33" s="100"/>
      <c r="H33" s="100"/>
    </row>
    <row r="34" spans="1:10" ht="33.200000000000003" customHeight="1">
      <c r="A34" s="100"/>
      <c r="B34" s="100"/>
      <c r="C34" s="100"/>
      <c r="D34" s="100"/>
      <c r="E34" s="100"/>
      <c r="F34" s="100"/>
      <c r="G34" s="100"/>
      <c r="H34" s="100"/>
    </row>
    <row r="35" spans="1:10" ht="33.200000000000003" customHeight="1">
      <c r="A35" s="100"/>
      <c r="B35" s="100"/>
      <c r="C35" s="100"/>
      <c r="D35" s="100"/>
      <c r="E35" s="100"/>
      <c r="F35" s="100"/>
      <c r="G35" s="100"/>
      <c r="H35" s="100"/>
    </row>
    <row r="36" spans="1:10" ht="33.200000000000003" customHeight="1">
      <c r="A36" s="100"/>
      <c r="B36" s="100"/>
      <c r="C36" s="100"/>
      <c r="D36" s="100"/>
      <c r="E36" s="100"/>
      <c r="F36" s="100"/>
      <c r="G36" s="100"/>
      <c r="H36" s="100"/>
    </row>
    <row r="37" spans="1:10" ht="33.200000000000003" customHeight="1">
      <c r="A37" s="100"/>
      <c r="B37" s="100"/>
      <c r="C37" s="100"/>
      <c r="D37" s="100"/>
      <c r="E37" s="100"/>
      <c r="F37" s="100"/>
      <c r="G37" s="100"/>
      <c r="H37" s="100"/>
    </row>
    <row r="38" spans="1:10" ht="33.200000000000003" customHeight="1">
      <c r="A38" s="100"/>
      <c r="B38" s="100"/>
      <c r="C38" s="100"/>
      <c r="D38" s="100"/>
      <c r="E38" s="100"/>
      <c r="F38" s="100"/>
      <c r="G38" s="100"/>
      <c r="H38" s="100"/>
    </row>
    <row r="39" spans="1:10" ht="33.200000000000003" customHeight="1">
      <c r="A39" s="100"/>
      <c r="B39" s="100"/>
      <c r="C39" s="100"/>
      <c r="D39" s="100"/>
      <c r="E39" s="100"/>
      <c r="F39" s="100"/>
      <c r="G39" s="100"/>
      <c r="H39" s="100"/>
    </row>
    <row r="40" spans="1:10" ht="33.200000000000003" customHeight="1">
      <c r="A40" s="100"/>
      <c r="B40" s="100"/>
      <c r="C40" s="100"/>
      <c r="D40" s="100"/>
      <c r="E40" s="100"/>
      <c r="F40" s="100"/>
      <c r="G40" s="100"/>
      <c r="H40" s="100"/>
    </row>
    <row r="41" spans="1:10" ht="33.200000000000003" customHeight="1">
      <c r="A41" s="100"/>
      <c r="B41" s="100"/>
      <c r="C41" s="100"/>
      <c r="D41" s="100"/>
      <c r="E41" s="100"/>
      <c r="F41" s="100"/>
      <c r="G41" s="100"/>
      <c r="H41" s="100"/>
    </row>
    <row r="44" spans="1:10">
      <c r="J44" t="s">
        <v>180</v>
      </c>
    </row>
  </sheetData>
  <mergeCells count="9">
    <mergeCell ref="A18:H19"/>
    <mergeCell ref="I4:I17"/>
    <mergeCell ref="A21:B21"/>
    <mergeCell ref="A4:B4"/>
    <mergeCell ref="C4:E4"/>
    <mergeCell ref="F4:H4"/>
    <mergeCell ref="C1:H2"/>
    <mergeCell ref="A3:B3"/>
    <mergeCell ref="C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>
        <f>SUM(C3:E3)</f>
        <v>0</v>
      </c>
      <c r="G3" s="129">
        <f>MAX(C3:E3)</f>
        <v>0</v>
      </c>
      <c r="H3" s="129">
        <f t="shared" ref="H3:H7" si="0">MIN(C3:E3)</f>
        <v>0</v>
      </c>
      <c r="I3" s="129" t="e">
        <f t="shared" ref="I3:I7" si="1">AVERAGE(C3:E3)</f>
        <v>#DIV/0!</v>
      </c>
    </row>
    <row r="4" spans="1:10">
      <c r="F4" s="129">
        <f t="shared" ref="F4:F7" si="2">SUM(C4:E4)</f>
        <v>0</v>
      </c>
      <c r="G4" s="129">
        <f>MAX(C4:E4)</f>
        <v>0</v>
      </c>
      <c r="H4" s="129">
        <f t="shared" si="0"/>
        <v>0</v>
      </c>
      <c r="I4" s="129" t="e">
        <f t="shared" si="1"/>
        <v>#DIV/0!</v>
      </c>
    </row>
    <row r="5" spans="1:10">
      <c r="F5" s="129">
        <f t="shared" si="2"/>
        <v>0</v>
      </c>
      <c r="G5" s="129">
        <f>MAX(C5:E5)</f>
        <v>0</v>
      </c>
      <c r="H5" s="129">
        <f t="shared" si="0"/>
        <v>0</v>
      </c>
      <c r="I5" s="129" t="e">
        <f t="shared" si="1"/>
        <v>#DIV/0!</v>
      </c>
    </row>
    <row r="6" spans="1:10">
      <c r="F6" s="129">
        <f t="shared" si="2"/>
        <v>0</v>
      </c>
      <c r="G6" s="129">
        <f t="shared" ref="G6:G7" si="3">MAX(C6:E6)</f>
        <v>0</v>
      </c>
      <c r="H6" s="129">
        <f t="shared" si="0"/>
        <v>0</v>
      </c>
      <c r="I6" s="129" t="e">
        <f t="shared" si="1"/>
        <v>#DIV/0!</v>
      </c>
    </row>
    <row r="7" spans="1:10">
      <c r="C7">
        <v>3260</v>
      </c>
      <c r="F7" s="129">
        <f t="shared" si="2"/>
        <v>3260</v>
      </c>
      <c r="G7" s="129">
        <f t="shared" si="3"/>
        <v>3260</v>
      </c>
      <c r="H7" s="129">
        <f t="shared" si="0"/>
        <v>3260</v>
      </c>
      <c r="I7" s="129">
        <f t="shared" si="1"/>
        <v>3260</v>
      </c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3260</v>
      </c>
      <c r="G9" s="163">
        <f>SUM(G2:G7)</f>
        <v>3260</v>
      </c>
      <c r="H9" s="163">
        <f>SUM(H2:H7)</f>
        <v>3260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3260</v>
      </c>
      <c r="G21" s="243">
        <f>SUM(G9+G19)</f>
        <v>3260</v>
      </c>
      <c r="H21" s="243">
        <f>SUM(H9+H19)</f>
        <v>3260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>
        <f>SUM(C3:E3)</f>
        <v>0</v>
      </c>
      <c r="G3" s="129">
        <f>MAX(C3:E3)</f>
        <v>0</v>
      </c>
      <c r="H3" s="129">
        <f t="shared" ref="H3:H7" si="0">MIN(C3:E3)</f>
        <v>0</v>
      </c>
      <c r="I3" s="129" t="e">
        <f t="shared" ref="I3:I7" si="1">AVERAGE(C3:E3)</f>
        <v>#DIV/0!</v>
      </c>
    </row>
    <row r="4" spans="1:10">
      <c r="F4" s="129">
        <f t="shared" ref="F4:F7" si="2">SUM(C4:E4)</f>
        <v>0</v>
      </c>
      <c r="G4" s="129">
        <f>MAX(C4:E4)</f>
        <v>0</v>
      </c>
      <c r="H4" s="129">
        <f t="shared" si="0"/>
        <v>0</v>
      </c>
      <c r="I4" s="129" t="e">
        <f t="shared" si="1"/>
        <v>#DIV/0!</v>
      </c>
    </row>
    <row r="5" spans="1:10">
      <c r="F5" s="129">
        <f t="shared" si="2"/>
        <v>0</v>
      </c>
      <c r="G5" s="129">
        <f>MAX(C5:E5)</f>
        <v>0</v>
      </c>
      <c r="H5" s="129">
        <f t="shared" si="0"/>
        <v>0</v>
      </c>
      <c r="I5" s="129" t="e">
        <f t="shared" si="1"/>
        <v>#DIV/0!</v>
      </c>
    </row>
    <row r="6" spans="1:10">
      <c r="F6" s="129">
        <f t="shared" si="2"/>
        <v>0</v>
      </c>
      <c r="G6" s="129">
        <f t="shared" ref="G6:G7" si="3">MAX(C6:E6)</f>
        <v>0</v>
      </c>
      <c r="H6" s="129">
        <f t="shared" si="0"/>
        <v>0</v>
      </c>
      <c r="I6" s="129" t="e">
        <f t="shared" si="1"/>
        <v>#DIV/0!</v>
      </c>
    </row>
    <row r="7" spans="1:10">
      <c r="C7">
        <v>3260</v>
      </c>
      <c r="F7" s="129">
        <f t="shared" si="2"/>
        <v>3260</v>
      </c>
      <c r="G7" s="129">
        <f t="shared" si="3"/>
        <v>3260</v>
      </c>
      <c r="H7" s="129">
        <f t="shared" si="0"/>
        <v>3260</v>
      </c>
      <c r="I7" s="129">
        <f t="shared" si="1"/>
        <v>3260</v>
      </c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3260</v>
      </c>
      <c r="G9" s="163">
        <f>SUM(G2:G7)</f>
        <v>3260</v>
      </c>
      <c r="H9" s="163">
        <f>SUM(H2:H7)</f>
        <v>3260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3260</v>
      </c>
      <c r="G21" s="243">
        <f>SUM(G9+G19)</f>
        <v>3260</v>
      </c>
      <c r="H21" s="243">
        <f>SUM(H9+H19)</f>
        <v>3260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4"/>
  <sheetViews>
    <sheetView tabSelected="1" workbookViewId="0">
      <selection activeCell="F15" sqref="F15"/>
    </sheetView>
  </sheetViews>
  <sheetFormatPr defaultRowHeight="12.75"/>
  <sheetData>
    <row r="1" spans="1:10">
      <c r="A1" t="s">
        <v>181</v>
      </c>
    </row>
    <row r="2" spans="1:10">
      <c r="F2" s="129">
        <f>SUM(C2:E2)</f>
        <v>0</v>
      </c>
      <c r="G2" s="129">
        <f>MAX(C2:E2)</f>
        <v>0</v>
      </c>
      <c r="H2" s="129">
        <f>MIN(C2:E2)</f>
        <v>0</v>
      </c>
      <c r="I2" s="129" t="e">
        <f>AVERAGE(C2:E2)</f>
        <v>#DIV/0!</v>
      </c>
    </row>
    <row r="3" spans="1:10">
      <c r="F3" s="129">
        <f>SUM(C3:E3)</f>
        <v>0</v>
      </c>
      <c r="G3" s="129">
        <f>MAX(C3:E3)</f>
        <v>0</v>
      </c>
      <c r="H3" s="129">
        <f t="shared" ref="H3:H7" si="0">MIN(C3:E3)</f>
        <v>0</v>
      </c>
      <c r="I3" s="129" t="e">
        <f t="shared" ref="I3:I7" si="1">AVERAGE(C3:E3)</f>
        <v>#DIV/0!</v>
      </c>
    </row>
    <row r="4" spans="1:10">
      <c r="F4" s="129">
        <f t="shared" ref="F4:F7" si="2">SUM(C4:E4)</f>
        <v>0</v>
      </c>
      <c r="G4" s="129">
        <f>MAX(C4:E4)</f>
        <v>0</v>
      </c>
      <c r="H4" s="129">
        <f t="shared" si="0"/>
        <v>0</v>
      </c>
      <c r="I4" s="129" t="e">
        <f t="shared" si="1"/>
        <v>#DIV/0!</v>
      </c>
    </row>
    <row r="5" spans="1:10">
      <c r="F5" s="129">
        <f t="shared" si="2"/>
        <v>0</v>
      </c>
      <c r="G5" s="129">
        <f>MAX(C5:E5)</f>
        <v>0</v>
      </c>
      <c r="H5" s="129">
        <f t="shared" si="0"/>
        <v>0</v>
      </c>
      <c r="I5" s="129" t="e">
        <f t="shared" si="1"/>
        <v>#DIV/0!</v>
      </c>
    </row>
    <row r="6" spans="1:10">
      <c r="F6" s="129">
        <f t="shared" si="2"/>
        <v>0</v>
      </c>
      <c r="G6" s="129">
        <f t="shared" ref="G6:G7" si="3">MAX(C6:E6)</f>
        <v>0</v>
      </c>
      <c r="H6" s="129">
        <f t="shared" si="0"/>
        <v>0</v>
      </c>
      <c r="I6" s="129" t="e">
        <f t="shared" si="1"/>
        <v>#DIV/0!</v>
      </c>
    </row>
    <row r="7" spans="1:10">
      <c r="C7">
        <v>3260</v>
      </c>
      <c r="F7" s="129">
        <f t="shared" si="2"/>
        <v>3260</v>
      </c>
      <c r="G7" s="129">
        <f t="shared" si="3"/>
        <v>3260</v>
      </c>
      <c r="H7" s="129">
        <f t="shared" si="0"/>
        <v>3260</v>
      </c>
      <c r="I7" s="129">
        <f t="shared" si="1"/>
        <v>3260</v>
      </c>
    </row>
    <row r="9" spans="1:10">
      <c r="B9" s="129"/>
      <c r="C9" s="163">
        <f>SUM(C2:C7)</f>
        <v>3260</v>
      </c>
      <c r="D9" s="163">
        <f>SUM(D2:D7)</f>
        <v>0</v>
      </c>
      <c r="E9" s="163">
        <f>SUM(E2:E7)</f>
        <v>0</v>
      </c>
      <c r="F9" s="163">
        <f>SUM(F2:F7)</f>
        <v>3260</v>
      </c>
      <c r="G9" s="163">
        <f>SUM(G2:G7)</f>
        <v>3260</v>
      </c>
      <c r="H9" s="163">
        <f>SUM(H2:H7)</f>
        <v>3260</v>
      </c>
      <c r="I9" s="163" t="e">
        <f>SUM(I2:I7)</f>
        <v>#DIV/0!</v>
      </c>
    </row>
    <row r="10" spans="1:10">
      <c r="A10" s="129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s="210" customFormat="1"/>
    <row r="12" spans="1:10">
      <c r="A12" s="129"/>
      <c r="B12" s="129"/>
      <c r="C12" s="129"/>
      <c r="D12" s="129"/>
      <c r="E12" s="129"/>
      <c r="F12" s="129">
        <f>SUM(C12:E12)</f>
        <v>0</v>
      </c>
      <c r="G12" s="129">
        <f>MAX(C12:E12)</f>
        <v>0</v>
      </c>
      <c r="H12" s="129">
        <f>MIN(C12:E12)</f>
        <v>0</v>
      </c>
      <c r="I12" s="129" t="e">
        <f>AVERAGE(C12:E12)</f>
        <v>#DIV/0!</v>
      </c>
      <c r="J12" s="129"/>
    </row>
    <row r="13" spans="1:10">
      <c r="A13" s="129"/>
      <c r="B13" s="129"/>
      <c r="C13" s="129"/>
      <c r="D13" s="129"/>
      <c r="E13" s="129"/>
      <c r="F13" s="129">
        <f>SUM(C13:E13)</f>
        <v>0</v>
      </c>
      <c r="G13" s="129">
        <f>MAX(C13:E13)</f>
        <v>0</v>
      </c>
      <c r="H13" s="129">
        <f>MIN(C13:E13)</f>
        <v>0</v>
      </c>
      <c r="I13" s="129" t="e">
        <f>AVERAGE(C13:E13)</f>
        <v>#DIV/0!</v>
      </c>
      <c r="J13" s="129"/>
    </row>
    <row r="14" spans="1:10">
      <c r="A14" s="129"/>
      <c r="B14" s="129"/>
      <c r="C14" s="129"/>
      <c r="D14" s="129"/>
      <c r="E14" s="129"/>
      <c r="F14" s="129">
        <f>SUM(C14:E14)</f>
        <v>0</v>
      </c>
      <c r="G14" s="129">
        <f>MAX(C14:E14)</f>
        <v>0</v>
      </c>
      <c r="H14" s="129">
        <f>MIN(C14:E14)</f>
        <v>0</v>
      </c>
      <c r="I14" s="129" t="e">
        <f>AVERAGE(C14:E14)</f>
        <v>#DIV/0!</v>
      </c>
      <c r="J14" s="129"/>
    </row>
    <row r="15" spans="1:10">
      <c r="A15" s="129"/>
      <c r="B15" s="129"/>
      <c r="C15" s="129"/>
      <c r="D15" s="129"/>
      <c r="E15" s="129"/>
      <c r="F15" s="129">
        <f>SUM(C15:E15)</f>
        <v>0</v>
      </c>
      <c r="G15" s="129">
        <f>MAX(C15:E15)</f>
        <v>0</v>
      </c>
      <c r="H15" s="129">
        <f>MIN(C15:E15)</f>
        <v>0</v>
      </c>
      <c r="I15" s="129" t="e">
        <f>AVERAGE(C15:E15)</f>
        <v>#DIV/0!</v>
      </c>
      <c r="J15" s="129"/>
    </row>
    <row r="16" spans="1:10">
      <c r="A16" s="129"/>
      <c r="B16" s="129"/>
      <c r="C16" s="129"/>
      <c r="D16" s="129"/>
      <c r="E16" s="129"/>
      <c r="F16" s="129">
        <f>SUM(C16:E16)</f>
        <v>0</v>
      </c>
      <c r="G16" s="129">
        <f>MAX(C16:E16)</f>
        <v>0</v>
      </c>
      <c r="H16" s="129">
        <f>MIN(C16:E16)</f>
        <v>0</v>
      </c>
      <c r="I16" s="129" t="e">
        <f>AVERAGE(C16:E16)</f>
        <v>#DIV/0!</v>
      </c>
      <c r="J16" s="129"/>
    </row>
    <row r="17" spans="1:10">
      <c r="A17" s="129"/>
      <c r="B17" s="129"/>
      <c r="C17" s="129"/>
      <c r="D17" s="129"/>
      <c r="E17" s="129"/>
      <c r="F17" s="129">
        <f>SUM(C17:E17)</f>
        <v>0</v>
      </c>
      <c r="G17" s="129">
        <f>MAX(C17:E17)</f>
        <v>0</v>
      </c>
      <c r="H17" s="129">
        <f>MIN(C17:E17)</f>
        <v>0</v>
      </c>
      <c r="I17" s="129" t="e">
        <f>AVERAGE(C17:E17)</f>
        <v>#DIV/0!</v>
      </c>
      <c r="J17" s="129"/>
    </row>
    <row r="19" spans="1:10" s="129" customFormat="1">
      <c r="C19" s="163">
        <f>SUM(C12:C17)</f>
        <v>0</v>
      </c>
      <c r="D19" s="163">
        <f>SUM(D12:D17)</f>
        <v>0</v>
      </c>
      <c r="E19" s="163">
        <f>SUM(E12:E17)</f>
        <v>0</v>
      </c>
      <c r="F19" s="163">
        <f>SUM(F12:F17)</f>
        <v>0</v>
      </c>
      <c r="G19" s="163">
        <f>SUM(G12:G17)</f>
        <v>0</v>
      </c>
      <c r="H19" s="163">
        <f>SUM(H12:H17)</f>
        <v>0</v>
      </c>
      <c r="I19" s="163" t="e">
        <f>SUM(I12:I17)</f>
        <v>#DIV/0!</v>
      </c>
    </row>
    <row r="21" spans="1:10" s="163" customFormat="1" ht="30" customHeight="1">
      <c r="A21" s="241" t="s">
        <v>182</v>
      </c>
      <c r="B21" s="242"/>
      <c r="C21" s="243">
        <f>SUM(C9+C19)</f>
        <v>3260</v>
      </c>
      <c r="D21" s="243">
        <f>SUM(D9+D19)</f>
        <v>0</v>
      </c>
      <c r="E21" s="243">
        <f>SUM(E9+E19)</f>
        <v>0</v>
      </c>
      <c r="F21" s="243">
        <f>SUM(F9+F19)</f>
        <v>3260</v>
      </c>
      <c r="G21" s="243">
        <f>SUM(G9+G19)</f>
        <v>3260</v>
      </c>
      <c r="H21" s="243">
        <f>SUM(H9+H19)</f>
        <v>3260</v>
      </c>
      <c r="I21" s="243" t="e">
        <f>SUM(I9+I19)</f>
        <v>#DIV/0!</v>
      </c>
    </row>
    <row r="44" spans="10:10">
      <c r="J44" t="s">
        <v>180</v>
      </c>
    </row>
  </sheetData>
  <mergeCells count="1"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(Microsoft Word - Revis\343o Excel)</dc:title>
  <dc:creator>luis</dc:creator>
  <cp:lastModifiedBy>Fatec</cp:lastModifiedBy>
  <dcterms:created xsi:type="dcterms:W3CDTF">2026-03-06T14:35:52Z</dcterms:created>
  <dcterms:modified xsi:type="dcterms:W3CDTF">2026-03-06T15:03:12Z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2011-07-15T00:00:00Z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2026-03-06T00:00:00Z</vt:filetime>
  </property>
  <property fmtid="{D5CDD505-2E9C-101B-9397-08002B2CF9AE}" pid="5" name="Producer">
    <vt:lpwstr>GPL Ghostscript 8.15</vt:lpwstr>
  </property>
</Properties>
</file>